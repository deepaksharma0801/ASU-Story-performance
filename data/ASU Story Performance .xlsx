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sheetId="1" r:id="rId5"/>
    <sheet state="visible" name="Original" sheetId="2" r:id="rId6"/>
    <sheet state="visible" name="Averages" sheetId="3" r:id="rId7"/>
    <sheet state="visible" name="Comparison" sheetId="4" r:id="rId8"/>
  </sheets>
  <definedNames>
    <definedName hidden="1" localSheetId="0" name="_xlnm._FilterDatabase">Updated!$A$2:$AD$553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tc={25c3e067-ef84-4241-a76b-a87054d1c696}</author>
    <author>tc={e4de6f8b-2720-4986-b212-4973a64cad56}</author>
  </authors>
  <commentList>
    <comment authorId="0" xr:uid="{25c3e067-ef84-4241-a76b-a87054d1c696}" ref="E2">
      <text>
        <t xml:space="preserve">[Threaded comment]
 Your version of Excel allows you to read this threaded comment; however, any edits to it will get removed if the file is opened in a newer version of Excel. Learn more: https://go.microsoft.com/fwlink/?linkid=870924
Comment:
	L &gt;1000 words
</t>
      </text>
    </comment>
    <comment authorId="1" xr:uid="{e4de6f8b-2720-4986-b212-4973a64cad56}" ref="C97">
      <text>
        <t xml:space="preserve">[Threaded comment]
 Your version of Excel allows you to read this threaded comment; however, any edits to it will get removed if the file is opened in a newer version of Excel. Learn more: https://go.microsoft.com/fwlink/?linkid=870924
Comment:
	@jgemmell@asu.edu The original post of this story had the date in the URL as 20240604
Reply:
	@dianeb@asu.edu unfortunately once they update the URL I'm not able to access the analytics for the original URL.
Reply:
	Oh no! Weirdly, I was able to get numbers for the original URL on our dashboard, but I'm going to talk to the ASU News editors about this because they shouldn't be changing story URLs on us!
</t>
      </text>
    </comment>
  </commentList>
</comments>
</file>

<file path=xl/sharedStrings.xml><?xml version="1.0" encoding="utf-8"?>
<sst xmlns="http://schemas.openxmlformats.org/spreadsheetml/2006/main" count="769" uniqueCount="260">
  <si>
    <t>Source</t>
  </si>
  <si>
    <t>https://docs.google.com/spreadsheets/d/1noiIQSfT7Pdn22VWdLyflMqLTOMU1xkUpMeeUPi905U/edit?usp=sharing</t>
  </si>
  <si>
    <t>30 day visits</t>
  </si>
  <si>
    <t>90 day visits</t>
  </si>
  <si>
    <t>Original From Content Calendar</t>
  </si>
  <si>
    <t>Publication Date</t>
  </si>
  <si>
    <t>News URL</t>
  </si>
  <si>
    <t>Contain Images in Between</t>
  </si>
  <si>
    <t>Long(L) or Short(S)</t>
  </si>
  <si>
    <t>Word Count</t>
  </si>
  <si>
    <t>SRA</t>
  </si>
  <si>
    <t>Users</t>
  </si>
  <si>
    <t>Sessions</t>
  </si>
  <si>
    <t>Pageviews</t>
  </si>
  <si>
    <t xml:space="preserve">Session Eng. Time </t>
  </si>
  <si>
    <t xml:space="preserve">Bounce Rate </t>
  </si>
  <si>
    <t>Session Eng. Time</t>
  </si>
  <si>
    <t>Bounce Rate</t>
  </si>
  <si>
    <t>Intermittent fasting shows promise in improving gut health, weight management</t>
  </si>
  <si>
    <t>news.asu.edu/20240528-health-and-medicine-intermittent-fasting-shows-promise-improving-gut-health-weight</t>
  </si>
  <si>
    <t>Yes</t>
  </si>
  <si>
    <t>S</t>
  </si>
  <si>
    <t>ASU research finds link between removal of uterus, brain function</t>
  </si>
  <si>
    <t>news.asu.edu/20240528-health-and-medicine-asu-research-finds-link-between-removal-uterus-brain-function</t>
  </si>
  <si>
    <t>L</t>
  </si>
  <si>
    <t>New global study shows freshwater is disappearing at alarming rates</t>
  </si>
  <si>
    <t>news.asu.edu/20250725-environment-and-sustainability-new-global-study-shows-freshwater-disappearing-alarming</t>
  </si>
  <si>
    <t>ASU retains No. 1 in US, top 10 globally in UN Sustainable Development Goals ranking</t>
  </si>
  <si>
    <t>news.asu.edu/20240611-university-news-asu-retains-no-1-us-top-10-globally-impact-ranking-un-sustainable-goals</t>
  </si>
  <si>
    <t>No</t>
  </si>
  <si>
    <t>ASU-led Southwest Sustainability Innovation Engine funds 8 promising tech startups</t>
  </si>
  <si>
    <t>news.asu.edu/20250312-science-and-technology-asuled-nsf-futures-engine-in-the-southwest-funds-8-promising-startups</t>
  </si>
  <si>
    <r>
      <rPr>
        <rFont val="Roboto"/>
        <color rgb="FF000000"/>
        <u/>
      </rPr>
      <t>ASU launches SPORTx, a new initiative to unite sports and entrepreneurship</t>
    </r>
  </si>
  <si>
    <t>news.asu.edu/20250430-business-and-entrepreneurship-asu-launches-sportx-new-initiative-unite-sports-entrepreneurship</t>
  </si>
  <si>
    <t>https://news.asu.edu/20250828-health-and-medicine-what-you-need-know-about-dust-storms-and-valley-fever</t>
  </si>
  <si>
    <t>https://news.asu.edu/20250910-science-and-technology-new-cancer-test-can-warn-patients-10-years-treatment-needed</t>
  </si>
  <si>
    <t>ASU and GoDaddy launch Student Athlete Venture Studio</t>
  </si>
  <si>
    <t>news.asu.edu/20250325-business-and-entrepreneurship-asu-and-godaddy-launch-studentathlete-venture-studio</t>
  </si>
  <si>
    <t>Is your gut microbiome a calorie 'super harvester'?</t>
  </si>
  <si>
    <t>news.asu.edu/20250611-health-and-medicine-your-gut-microbiome-calorie-super-harvester</t>
  </si>
  <si>
    <t>Saving lives from an invisible killer</t>
  </si>
  <si>
    <t>news.asu.edu/20240729-environment-and-sustainability-saving-lives-invisible-killer</t>
  </si>
  <si>
    <t>Bird flu: Your questions on symptoms, spread and safety answered</t>
  </si>
  <si>
    <t>news.asu.edu/20250418-health-and-medicine-bird-flu-your-questions-symptoms-spread-and-safety-answered</t>
  </si>
  <si>
    <t>New study explores the link between diet, blood sugar and cancer risk across species</t>
  </si>
  <si>
    <t>news.asu.edu/20250312-science-and-technology-new-study-explores-link-between-diet-blood-sugar-and-cancer-risk</t>
  </si>
  <si>
    <t>https://news.asu.edu/20251107-science-and-technology-asu-researchers-discover-dnabased-electronic-storage-system</t>
  </si>
  <si>
    <t>Fast, accurate, low-cost diagnostics: No lab required | ASU News</t>
  </si>
  <si>
    <t>news.asu.edu/20250812-science-and-technology-fast-accurate-lowcost-diagnostics-no-lab-required</t>
  </si>
  <si>
    <t>Global Futures Laboratory at ASU joins DOE initiative to empower women in clean energy</t>
  </si>
  <si>
    <t>news.asu.edu/20240624-environment-and-sustainability-global-futures-laboratory-asu-joins-doe-initiative-empower</t>
  </si>
  <si>
    <t>NSF-funded, ASU-led sustainability, economic development initiative taps new CEO</t>
  </si>
  <si>
    <t>news.asu.edu/20240702-swsie-appoints-new-ceo</t>
  </si>
  <si>
    <t>Fighting the fungus among us</t>
  </si>
  <si>
    <t>news.asu.edu/20250414-health-and-medicine-fighting-fungus-among-us</t>
  </si>
  <si>
    <t>Study aims to help semiconductor industry be more sustainable</t>
  </si>
  <si>
    <t>news.asu.edu/20250718-science-and-technology-study-aims-help-semiconductor-industry-be-more-sustainable</t>
  </si>
  <si>
    <t>A world full of plastic ... not fantastic</t>
  </si>
  <si>
    <t>news.asu.edu/20241120-environment-and-sustainability-world-full-plastic-not-fantastic</t>
  </si>
  <si>
    <t>Adventurer and space visionary embarks on a new journey at ASU</t>
  </si>
  <si>
    <t>news.asu.edu/20250130-environment-and-sustainability-adventurer-and-space-visionary-embarks-new-journey-asu</t>
  </si>
  <si>
    <t>4 ASU researchers named Senior Members of the National Academy of Inventors</t>
  </si>
  <si>
    <t>news.asu.edu/20250328-science-and-technology-four-asu-researchers-named-senior-members-national-academy</t>
  </si>
  <si>
    <t>https://news.asu.edu/20251021-health-and-medicine-food-medicine-event-cultivates-new-solutions-sustainable-health</t>
  </si>
  <si>
    <t>ASU invention helps people worldwide reach weight goals</t>
  </si>
  <si>
    <t>news.asu.edu/20250505-health-and-medicine-asu-invention-helps-people-worldwide-reach-weight-goals</t>
  </si>
  <si>
    <r>
      <rPr>
        <rFont val="&quot;system-ui&quot;, -apple-system, &quot;Segoe UI&quot;, Roboto, Oxygen-Sans, Ubuntu, Cantarell, &quot;Helvetica Neue&quot;, sans-serif"/>
        <color rgb="FF434343"/>
        <sz val="12.0"/>
        <u/>
      </rPr>
      <t>Urban forestry accelerator aims to boost green infrastructure, economic growth in Phoenix</t>
    </r>
  </si>
  <si>
    <t>news.asu.edu/20240830-environment-and-sustainability-urban-forestry-accelerator-aims-boost-green-infrastructure</t>
  </si>
  <si>
    <t>Improving Alzheimer's prevention and care</t>
  </si>
  <si>
    <t>news.asu.edu/20250626-health-and-medicine-improving-alzheimers-prevention-and-care</t>
  </si>
  <si>
    <t>8 ways to protect wildlife</t>
  </si>
  <si>
    <t>news.asu.edu/20241004-environment-and-sustainability-8-ways-protect-wildlife</t>
  </si>
  <si>
    <t>New cancer treatment disrupts tumor growth</t>
  </si>
  <si>
    <t>news.asu.edu/20250319-science-and-technology-new-cancer-treatment-disrupts-tumor-growth</t>
  </si>
  <si>
    <t xml:space="preserve">Water-cleaning bacteria can produce health, economic benefits </t>
  </si>
  <si>
    <t>news.asu.edu/20250606-environment-and-sustainability-watercleaning-bacteria-can-produce-health-economic-benefits</t>
  </si>
  <si>
    <t>Charles Redman, founder of the School of Sustainability, faces a new adventure: Retirement</t>
  </si>
  <si>
    <t>news.asu.edu/20241030-environment-and-sustainability-charles-redman-founder-school-sustainability-faces-new</t>
  </si>
  <si>
    <t>Forest thinning may provide water benefits downstream</t>
  </si>
  <si>
    <t>news.asu.edu/20240521-environment-and-sustainability-forest-thinning-may-provide-water-benefits-downstream</t>
  </si>
  <si>
    <t>ASU researchers blend biology, fantasy in world-building guidebook</t>
  </si>
  <si>
    <t>news.asu.edu/20250528-science-and-technology-asu-researchers-blend-biology-fantasy-worldbuilding-guidebook</t>
  </si>
  <si>
    <t>Math and stats grad beats the odds by overcoming serious health issues</t>
  </si>
  <si>
    <t>news.asu.edu/20240427-sun-devil-community-math-and-stats-grad-beats-odds-overcoming-serious-health-issues</t>
  </si>
  <si>
    <t>ASU helps rural communities tackle local water problems</t>
  </si>
  <si>
    <t>news.asu.edu/20250610-environment-and-sustainability-asu-helps-rural-communities-tackle-local-water-problems</t>
  </si>
  <si>
    <t>https://news.asu.edu/20251024-science-and-technology-untangling-alzheimers-asu-researchers-tackling-our-understanding</t>
  </si>
  <si>
    <t>Navigating uncharted waters: ASU drives solutions for water resilience</t>
  </si>
  <si>
    <t>news.asu.edu/20240903-environment-and-sustainability-navigating-uncharted-waters-asu-drives-solutions-water</t>
  </si>
  <si>
    <t>https://news.asu.edu/20251103-science-and-technology-secrets-microbial-motion-how-bacteria-swash-glide-and-shift-gears</t>
  </si>
  <si>
    <t>ASU-led initiative announces first decarbonization projects for US industry</t>
  </si>
  <si>
    <t>news.asu.edu/20241008-science-and-technology-asuled-initiative-announces-first-decarbonization-projects-us</t>
  </si>
  <si>
    <t>https://news.asu.edu/20251104-science-and-technology-signpost-cancer-linked-woundhealing-properties</t>
  </si>
  <si>
    <r>
      <rPr>
        <rFont val="&quot;system-ui&quot;, -apple-system, &quot;Segoe UI&quot;, Roboto, Oxygen-Sans, Ubuntu, Cantarell, &quot;Helvetica Neue&quot;, sans-serif"/>
        <color rgb="FF434343"/>
        <sz val="12.0"/>
        <u/>
      </rPr>
      <t>Arizona public health leader to direct Health Observatory at ASU</t>
    </r>
  </si>
  <si>
    <t>news.asu.edu/20240815-health-and-medicine-arizona-public-health-leader-direct-health-observatory-asu</t>
  </si>
  <si>
    <t>ASU Carbon Summit displays sustainability leadership, collaboration and ... electric motorcycles</t>
  </si>
  <si>
    <t>news.asu.edu/20241031-environment-and-sustainability-asu-carbon-summit-displays-sustainability-leadership</t>
  </si>
  <si>
    <r>
      <rPr>
        <rFont val="&quot;system-ui&quot;, -apple-system, &quot;Segoe UI&quot;, Roboto, Oxygen-Sans, Ubuntu, Cantarell, &quot;Helvetica Neue&quot;, sans-serif"/>
        <color rgb="FF434343"/>
        <sz val="12.0"/>
        <u/>
      </rPr>
      <t>Teaching AI about social intelligence through Minecraft</t>
    </r>
  </si>
  <si>
    <t>news.asu.edu/20240805-science-and-technology-teaching-ai-about-social-intelligence-through-minecraft</t>
  </si>
  <si>
    <r>
      <rPr>
        <rFont val="&quot;system-ui&quot;, -apple-system, &quot;Segoe UI&quot;, Roboto, Oxygen-Sans, Ubuntu, Cantarell, &quot;Helvetica Neue&quot;, sans-serif"/>
        <color rgb="FF434343"/>
        <sz val="12.0"/>
        <u/>
      </rPr>
      <t>This ASU lab brings the energy</t>
    </r>
  </si>
  <si>
    <t>news.asu.edu/20240814-environment-and-sustainability-asu-lab-brings-energy</t>
  </si>
  <si>
    <t>https://news.asu.edu/20251020-science-and-technology-exploring-potential-link-between-microplastics-and-alzheimers</t>
  </si>
  <si>
    <t>Reef restoration program celebrates official opening of state-of-the-art coral reef facility</t>
  </si>
  <si>
    <t>news.asu.edu/20240509-environment-and-sustainability-reef-restoration-program-celebrates-official-opening</t>
  </si>
  <si>
    <t>From ASU to the Amazon: Student bridges communities with solar canoe project</t>
  </si>
  <si>
    <t>news.asu.edu/20250402-environment-and-sustainability-asu-amazon-student-bridges-communities-solar-canoe-project</t>
  </si>
  <si>
    <t>From K-12 to corporate upskilling, ASU guides learners of all ages to design a sustainable future</t>
  </si>
  <si>
    <t>news.asu.edu/20250418-environment-and-sustainability-k12-corporate-upskilling-asu-guides-learners-all-ages</t>
  </si>
  <si>
    <t>DEF CON Academy looks to serve, build community</t>
  </si>
  <si>
    <t>news.asu.edu/20241031-science-and-technology-def-con-academy-looks-serve-build-community</t>
  </si>
  <si>
    <t>Your crash course on quantum science</t>
  </si>
  <si>
    <t>news.asu.edu/20250602-science-and-technology-your-crash-course-quantum-science</t>
  </si>
  <si>
    <t>New ASU research hunts down drug-resistant superbugs</t>
  </si>
  <si>
    <t>news.asu.edu/20250623-science-and-technology-new-asu-research-hunts-down-drugresistant-microbes</t>
  </si>
  <si>
    <t>ASU students win big at homeland security design challenge</t>
  </si>
  <si>
    <t>news.asu.edu/20250325-science-and-technology-asu-students-win-big-homeland-security-design-challenge</t>
  </si>
  <si>
    <t>2 killer Halloween projects from ASU’s monster expert</t>
  </si>
  <si>
    <t>news.asu.edu/20241028-arts-humanities-and-education-2-killer-halloween-projects-asus-monster-expert</t>
  </si>
  <si>
    <t>ASU study reveals 'true cost' of milk</t>
  </si>
  <si>
    <t>news.asu.edu/20250821-environment-and-sustainability-plantbased-milk-good-you</t>
  </si>
  <si>
    <t xml:space="preserve">Sewage contamination locations threatening west Hawaiʻi coral reefs </t>
  </si>
  <si>
    <t>news.asu.edu/20250826-environment-and-sustainability-sewage-contamination-locations-threatening-west-hawaii</t>
  </si>
  <si>
    <t>https://news.asu.edu/20250924-science-and-technology-phoenix-heat-tokyo-humidity-asu-facility-supports-elite-marathoner</t>
  </si>
  <si>
    <t>Newly identified viruses found in dolphins</t>
  </si>
  <si>
    <t>news.asu.edu/20250217-science-and-technology-newly-identified-viruses-found-dolphins</t>
  </si>
  <si>
    <t>Ancient sea creatures offer fresh insights into cancer</t>
  </si>
  <si>
    <t>news.asu.edu/20250221-science-and-technology-ancient-sea-creatures-offer-fresh-insights-cancer</t>
  </si>
  <si>
    <r>
      <rPr>
        <rFont val="Roboto"/>
        <color rgb="FF000000"/>
        <u/>
      </rPr>
      <t>From sea turtles to science policy: How this ASU grad found his path to a PhD</t>
    </r>
  </si>
  <si>
    <t>news.asu.edu/20250502-sun-devil-community-sea-turtles-science-policy-how-asu-grad-found-his-path-phd</t>
  </si>
  <si>
    <t>USTDA director joins policymakers, business leaders in conversation about clean energy collaboration</t>
  </si>
  <si>
    <t>news.asu.edu/20240814-environment-and-sustainability-ustda-director-joins-policymakers-business-leaders</t>
  </si>
  <si>
    <t>Meet 3 ASU cybersecurity researchers advancing a more secure future</t>
  </si>
  <si>
    <t>news.asu.edu/20241024-science-and-technology-meet-3-asu-cybersecurity-researchers-advancing-more-secure-future</t>
  </si>
  <si>
    <t>Can frisky flies save human lives?</t>
  </si>
  <si>
    <t>news.asu.edu/20250509-health-and-medicine-can-frisky-flies-save-human-lives</t>
  </si>
  <si>
    <t>Swarm science: Oral bacteria move in waves to spread and survive</t>
  </si>
  <si>
    <t>news.asu.edu/20250324-science-and-technology-swarm-science-oral-bacteria-move-waves-spread-and-survive</t>
  </si>
  <si>
    <t>The Sustainability Consortium receives 2024 President's Award for Sustainability</t>
  </si>
  <si>
    <t>news.asu.edu/20240808-environment-and-sustainability-sustainability-consortium-receives-2024-presidents-award</t>
  </si>
  <si>
    <t>First exchange student for Biodesign Institute Europe bridges labs 5,000 miles apart</t>
  </si>
  <si>
    <t>news.asu.edu/20240419-health-and-medicine-first-exchange-student-biodesign-institute-europe-bridges-labs-5000</t>
  </si>
  <si>
    <t>https://news.asu.edu/20250924-science-and-technology-building-ai-enhances-human-and-planetary-wellbeing</t>
  </si>
  <si>
    <t>Tiny copper clusters could lead to faster, energy-saving electronics</t>
  </si>
  <si>
    <t>news.asu.edu/20250801-science-and-technology-tiny-copper-clusters-could-lead-faster-energysaving-electronics</t>
  </si>
  <si>
    <t>Lara Ferry Promoted to Vice President of research at ASU's Knowledge Enterprise</t>
  </si>
  <si>
    <t>news.asu.edu/b/20240930-lara-ferry-promoted-vice-president-research-asus-knowledge-enterprise</t>
  </si>
  <si>
    <t>College of Global Futures announces new directors</t>
  </si>
  <si>
    <t>news.asu.edu/20240507-university-news-college-global-futures-announces-new-directors</t>
  </si>
  <si>
    <t>ASU grad heads to Harvard after exploring connection between allergies and the brain</t>
  </si>
  <si>
    <t>news.asu.edu/20250501-sun-devil-community-asu-grad-heads-harvard-after-exploring-connection-between-allergies</t>
  </si>
  <si>
    <t>Dynamic data duo advances health research</t>
  </si>
  <si>
    <t>news.asu.edu/20250320-health-and-medicine-dynamic-data-duo-advances-health-research</t>
  </si>
  <si>
    <t>https://news.asu.edu/20251010-sun-devil-community-scholarship-opens-doors-bermudians-pursue-their-passions-asu</t>
  </si>
  <si>
    <t>Pettinger to guide Southwest Sustainability Innovation Engine's sustainable technologies to market</t>
  </si>
  <si>
    <t>news.asu.edu/20241202-environment-and-sustainability-pettinger-guide-southwest-sustainability-innovation-engines</t>
  </si>
  <si>
    <t>Grad's journey from ASU to the frontiers of biochemistry and beyond</t>
  </si>
  <si>
    <t>news.asu.edu/20240429-sun-devil-community-grads-journey-asu-frontiers-biochemistry-and-beyond</t>
  </si>
  <si>
    <t>Discovery could lead to new treatments for life-threatening allergic reactions</t>
  </si>
  <si>
    <t>news.asu.edu/20250825-science-and-technology-discovery-could-lead-new-treatments-lifethreatening-allergic</t>
  </si>
  <si>
    <t>https://news.asu.edu/20251006-science-and-technology-how-rabbit-virus-learned-infect-hares</t>
  </si>
  <si>
    <t>https://news.asu.edu/20250929-science-and-technology-new-studies-shine-light-arctics-current-and-future-affairs</t>
  </si>
  <si>
    <t>Gifts support science, students and society at ASU</t>
  </si>
  <si>
    <t>news.asu.edu/20250612-university-news-lu-baird-gifts-support-science-students-and-society-asu</t>
  </si>
  <si>
    <t>Mentorship helped ASU graduate find passion for immunology</t>
  </si>
  <si>
    <t>news.asu.edu/20250501-sun-devil-community-mentorship-helped-asu-graduate-find-passion-immunology</t>
  </si>
  <si>
    <t>10 climate insights to guide our future</t>
  </si>
  <si>
    <t>news.asu.edu/20241028-environment-and-sustainability-10-climate-insights-guide-our-future</t>
  </si>
  <si>
    <t>ASU researchers working to better understand individual experiences of heat exposure</t>
  </si>
  <si>
    <t>news.asu.edu/20240508-environment-and-sustainability-asu-researchers-working-better-understand-individual</t>
  </si>
  <si>
    <t>Sustaining connections: ASU alumnae bring youth climate conference to their alma mater</t>
  </si>
  <si>
    <t>news.asu.edu/20240919-environment-and-sustainability-sustaining-connections-asu-alumnae-bring-youth-climate</t>
  </si>
  <si>
    <t>ASU now certified to build sensitive aerospace, defense instruments in-house</t>
  </si>
  <si>
    <t>news.asu.edu/20240522-science-and-technology-asu-now-certificated-build-sensitive-aerospace-defense-instruments</t>
  </si>
  <si>
    <t>Securing borders and supply chains and improving efficiency: Q&amp;A with Ross Maciejewski</t>
  </si>
  <si>
    <t>news.asu.edu/b/20250106-securing-borders-and-supply-chains-and-improving-efficiency-qa-ross-maciejewski</t>
  </si>
  <si>
    <r>
      <rPr>
        <rFont val="Roboto"/>
        <color rgb="FF000000"/>
        <u/>
      </rPr>
      <t>ASU MBA graduate's journey from cancer research to business leadership</t>
    </r>
  </si>
  <si>
    <t>news.asu.edu/20250501-sun-devil-community-asu-mba-graduates-journey-cancer-research-business-leadership</t>
  </si>
  <si>
    <t>School of Ocean Futures student to conduct marine research as NSF fellow</t>
  </si>
  <si>
    <t>news.asu.edu/20240708-sun-devil-community-school-ocean-futures-student-conduct-marine-research-nsf-fellow</t>
  </si>
  <si>
    <t>Majority of American religious leaders silently believe in climate change, ASU study shows</t>
  </si>
  <si>
    <t>news.asu.edu/20250421-environment-and-sustainability-majority-american-religious-leaders-silently-believe-climate-change</t>
  </si>
  <si>
    <r>
      <rPr>
        <rFont val="&quot;system-ui&quot;, -apple-system, &quot;Segoe UI&quot;, Roboto, Oxygen-Sans, Ubuntu, Cantarell, &quot;Helvetica Neue&quot;, sans-serif"/>
        <color rgb="FF434343"/>
        <sz val="12.0"/>
        <u/>
      </rPr>
      <t>ASU ocean scientists push for solutions beyond National Ocean Month</t>
    </r>
  </si>
  <si>
    <t>news.asu.edu/20240628-environment-and-sustainability-asu-ocean-scientists-push-solutions-beyond-national-ocean</t>
  </si>
  <si>
    <t>The rise of human-machine teams: Q&amp;A with Jamie Gorman</t>
  </si>
  <si>
    <t>news.asu.edu/b/20241220-rise-humanmachine-teams-qa-jamie-gorman</t>
  </si>
  <si>
    <t>Clearing the air: How we can fix the CO2 problem and make our lives better</t>
  </si>
  <si>
    <t>news.asu.edu/20240603-environment-and-sustainability-clearing-air-how-we-can-fix-co2-problem-and-make-our-lives</t>
  </si>
  <si>
    <t>Better together: ASU Biodesign thrives on collaboration</t>
  </si>
  <si>
    <t>news.asu.edu/b/20241001-better-together-asu-biodesign-thrives-collaboration</t>
  </si>
  <si>
    <t>https://news.asu.edu/b/20250825-edson-seed-grants-awarded-explore-clues-behind-neurodegenerative-diseases</t>
  </si>
  <si>
    <t>PhD grad honed interdisciplinary skills at ASU</t>
  </si>
  <si>
    <t>news.asu.edu/20240428-sun-devil-community-phd-grad-honed-interdisciplinary-skills-asu</t>
  </si>
  <si>
    <t>First-of-its-kind plastics recycling microfactory to transform waste, create new jobs</t>
  </si>
  <si>
    <t>news.asu.edu/20240207-environment-and-sustainability-firstofitskind-plastics-recycling-microfactory-transform#:~:text=The%20microfactory%20will%20give%20discarded,waste%20from%20going%20to%20landfills.</t>
  </si>
  <si>
    <t>https://news.asu.edu/b/20250926-asu-hydrology-expert-wins-distinguished-science-award</t>
  </si>
  <si>
    <r>
      <rPr>
        <rFont val="Roboto"/>
        <color rgb="FF434343"/>
      </rPr>
      <t xml:space="preserve">The hidden cost of the American food system </t>
    </r>
    <r>
      <rPr>
        <rFont val="Roboto"/>
        <color rgb="FF1155CC"/>
        <u/>
      </rPr>
      <t>https://news.asu.edu/20240604-environment-and-sustainability-hidden-cost-american-food-system</t>
    </r>
    <r>
      <rPr>
        <rFont val="Roboto"/>
        <color rgb="FF434343"/>
      </rPr>
      <t xml:space="preserve"> and then they updated the URL to </t>
    </r>
    <r>
      <rPr>
        <rFont val="Roboto"/>
        <color rgb="FF1155CC"/>
        <u/>
      </rPr>
      <t>https://news.asu.edu/20240701-environment-and-sustainability-hidden-cost-american-food-system</t>
    </r>
    <r>
      <rPr>
        <rFont val="Roboto"/>
        <color rgb="FF434343"/>
      </rPr>
      <t xml:space="preserve"> </t>
    </r>
  </si>
  <si>
    <t>news.asu.edu/20240701-environment-and-sustainability-hidden-cost-american-food-system</t>
  </si>
  <si>
    <t>https://news.asu.edu/20251020-science-and-technology-hate-having-upgrade-your-device-asu-fixing</t>
  </si>
  <si>
    <t>Revolutionizing health through bioelectronics and biosensors</t>
  </si>
  <si>
    <t>news.asu.edu/b/20241030-revolutionizing-health-through-bioelectronics-and-biosensors</t>
  </si>
  <si>
    <t>Stephanie Forrest’s unique integration of computation, biology and health</t>
  </si>
  <si>
    <t>news.asu.edu/b/20241014-stephanie-forrests-unique-integration-computation-biology-and-health</t>
  </si>
  <si>
    <t>ASU welcomes new leader of groundbreaking compact X-ray laser project</t>
  </si>
  <si>
    <t>news.asu.edu/b/20250818-asu-welcomes-new-leader-groundbreaking-compact-xray-laser-project</t>
  </si>
  <si>
    <r>
      <rPr>
        <rFont val="&quot;system-ui&quot;, -apple-system, &quot;Segoe UI&quot;, Roboto, Oxygen-Sans, Ubuntu, Cantarell, &quot;Helvetica Neue&quot;, sans-serif"/>
        <color rgb="FF434343"/>
        <sz val="12.0"/>
        <u/>
      </rPr>
      <t>New research shows transdisciplinary approach is needed for successful locust management</t>
    </r>
  </si>
  <si>
    <t>news.asu.edu/20240520-environment-and-sustainability-new-research-shows-transdisciplinary-approach-needed</t>
  </si>
  <si>
    <t>Exploring molecules in motion</t>
  </si>
  <si>
    <t>news.asu.edu/b/20241021-exploring-molecules-motion</t>
  </si>
  <si>
    <t>https://news.asu.edu/b/20250922-asubanner-conference-spotlight-advances-neurodegenerative-disease-research</t>
  </si>
  <si>
    <t>In the Biodesign Center for Single Molecule Biophysics, the little things add up</t>
  </si>
  <si>
    <t>news.asu.edu/b/20241003-biodesign-center-single-molecule-biophysics-little-things-add</t>
  </si>
  <si>
    <t>Simulating climate interventions: Experts work toward climate resilient future at recent event</t>
  </si>
  <si>
    <t>news.asu.edu/b/20240830-simulating-climate-interventions-experts-work-toward-climate-resilient-future-recent</t>
  </si>
  <si>
    <t>https://news.asu.edu/b/20250918-asu-donors-scholarship-continues-spark-discovery-students</t>
  </si>
  <si>
    <t>Ramon Velazquez discuses brain health and disease</t>
  </si>
  <si>
    <t>news.asu.edu/b/20250225-ramon-velazquez-discusses-brain-health-and-disease</t>
  </si>
  <si>
    <t>0 (Video)</t>
  </si>
  <si>
    <t>New study finds previously unreported and persistent super-emitting methane plumes from US landfills</t>
  </si>
  <si>
    <t>news.asu.edu/20240329-environment-and-sustainability-new-study-finds-previously-unreported-and-persistent</t>
  </si>
  <si>
    <t>ASU celebrates World Water Day by honoring BIOS’ 120 years of marine research</t>
  </si>
  <si>
    <t>news.asu.edu/20240709-environment-and-sustainability-asu-celebrates-world-ocean-day-honoring-bios-120-years</t>
  </si>
  <si>
    <t>https://news.asu.edu/b/20251003-asu-grad-takes-sustainable-food-passion-slovakia-fulbright-award</t>
  </si>
  <si>
    <t>NSF announces new partners in ASU-led climate, economy initiative</t>
  </si>
  <si>
    <t>news.asu.edu/20240305-environment-and-sustainability-nsf-announces-new-partners-asuled-climate-economy</t>
  </si>
  <si>
    <r>
      <rPr>
        <rFont val="Roboto"/>
        <color rgb="FF1155CC"/>
        <u/>
      </rPr>
      <t xml:space="preserve">Harnessing the power of microbes for human health </t>
    </r>
    <r>
      <rPr>
        <rFont val="Roboto"/>
        <color rgb="FF434343"/>
      </rPr>
      <t xml:space="preserve">also on </t>
    </r>
    <r>
      <rPr>
        <rFont val="Roboto"/>
        <color rgb="FF1155CC"/>
        <u/>
      </rPr>
      <t>https://research.asu.edu/news/story/harnessing-the-power-of-microbes-for-human-health/</t>
    </r>
    <r>
      <rPr>
        <rFont val="Roboto"/>
        <color rgb="FF434343"/>
      </rPr>
      <t xml:space="preserve"> </t>
    </r>
  </si>
  <si>
    <t>biodesign.asu.edu/news-and-events/news/story/harnessing-the-power-of-microbes-for-human-health/</t>
  </si>
  <si>
    <r>
      <rPr>
        <rFont val="Roboto"/>
        <color rgb="FF1155CC"/>
        <u/>
      </rPr>
      <t>Biodesign 'alumni' aid the fight against infectious diseases</t>
    </r>
    <r>
      <rPr>
        <rFont val="Roboto"/>
        <color rgb="FF434343"/>
      </rPr>
      <t xml:space="preserve"> and also on </t>
    </r>
    <r>
      <rPr>
        <rFont val="Roboto"/>
        <color rgb="FF1155CC"/>
        <u/>
      </rPr>
      <t>https://research.asu.edu/news/story/biodesign-alumni-aid-the-fight-against-infectious-diseases/</t>
    </r>
    <r>
      <rPr>
        <rFont val="Roboto"/>
        <color rgb="FF434343"/>
      </rPr>
      <t xml:space="preserve"> </t>
    </r>
  </si>
  <si>
    <t>biodesign.asu.edu/news-and-events/news/story/biodesign-alumni-aid-the-fight-against-infectious-diseases/</t>
  </si>
  <si>
    <t>https://news.asu.edu/20251125-health-and-medicine-what-know-about-arizonas-measles-outbreak</t>
  </si>
  <si>
    <t>https://news.asu.edu/20251121-arts-humanities-and-education-elementary-school-teachers-boast-classroom-benefits-after</t>
  </si>
  <si>
    <t>https://news.asu.edu/20251119-health-and-medicine-new-study-shows-how-microbial-transmission-can-affect-adaptive</t>
  </si>
  <si>
    <t>https://news.asu.edu/20251114-environment-and-sustainability-youth-climate-summit-gives-high-school-students-tools</t>
  </si>
  <si>
    <t>https://news.asu.edu/b/20251114-ecology-pioneer-speak-asu-biodesign-institute-part-lecture-series</t>
  </si>
  <si>
    <t>Contain Images</t>
  </si>
  <si>
    <t>Image</t>
  </si>
  <si>
    <t>https://news.asu.edu/20250505-health-and-medicine-asu-invention-helps-people-worldwide-reach-weight-goals</t>
  </si>
  <si>
    <t>https://news.asu.edu/20250501-sun-devil-community-asu-mba-graduates-journey-cancer-research-business-leadership</t>
  </si>
  <si>
    <t>https://news.asu.edu/20250502-sun-devil-community-sea-turtles-science-policy-how-asu-grad-found-his-path-phd</t>
  </si>
  <si>
    <t>https://news.asu.edu/20250501-sun-devil-community-mentorship-helped-asu-graduate-find-passion-immunology</t>
  </si>
  <si>
    <t>https://news.asu.edu/20250430-business-and-entrepreneurship-asu-launches-sportx-new-initiative-unite-sports-entrepreneurship</t>
  </si>
  <si>
    <t>news.asu.edu/20250312-science-and-technology-asuled-southwest-sustainability-innovation-engine-funds-8-promising-startups</t>
  </si>
  <si>
    <t>https://news.asu.edu/20241031-science-and-technology-def-con-academy-looks-serve-build-community</t>
  </si>
  <si>
    <t>https://news.asu.edu/20240430-sun-devil-community-grads-journey-asu-frontiers-biochemistry-and-beyond</t>
  </si>
  <si>
    <t>https://news.asu.edu/20240428-sun-devil-community-phd-grad-honed-interdisciplinary-skills-asu</t>
  </si>
  <si>
    <t>https://news.asu.edu/20240427-sun-devil-community-math-and-stats-grad-beats-odds-overcoming-serious-health-issues</t>
  </si>
  <si>
    <t>research.asu.edu/news/story/harnessing-the-power-of-microbes-for-human-health/</t>
  </si>
  <si>
    <t>research.asu.edu/news/story/biodesign-alumni-aid-the-fight-against-infectious-diseases/</t>
  </si>
  <si>
    <t>news.asu.edu/20240207-environment-and-sustainability-firstofitskind-plastics-recycling-microfactory-transform</t>
  </si>
  <si>
    <t>30 Days</t>
  </si>
  <si>
    <t>Avg Users</t>
  </si>
  <si>
    <t>Avg Sessions</t>
  </si>
  <si>
    <t>Avg Pageviews</t>
  </si>
  <si>
    <t xml:space="preserve">Avg Session Eng. Time </t>
  </si>
  <si>
    <t xml:space="preserve">Avg Bounce Rate </t>
  </si>
  <si>
    <t>90 Days</t>
  </si>
  <si>
    <t>Date</t>
  </si>
  <si>
    <t>Unit</t>
  </si>
  <si>
    <t>KE</t>
  </si>
  <si>
    <t>Y</t>
  </si>
  <si>
    <t>Non-KE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</si>
</sst>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yyyy-mm-dd"/>
    <numFmt numFmtId="166" formatCode="m/d/yyyy"/>
  </numFmts>
  <fonts count="56">
    <font>
      <sz val="10.0"/>
      <color rgb="FF000000"/>
      <name val="Arial"/>
      <scheme val="minor"/>
    </font>
    <font>
      <color theme="1"/>
      <name val="Arial"/>
    </font>
    <font>
      <u/>
      <color rgb="FF0000FF"/>
      <name val="Arial"/>
    </font>
    <font>
      <b/>
      <color theme="1"/>
      <name val="Arial"/>
      <scheme val="minor"/>
    </font>
    <font>
      <u/>
      <color rgb="FF434343"/>
      <name val="Roboto"/>
    </font>
    <font>
      <color rgb="FF434343"/>
      <name val="Roboto"/>
    </font>
    <font>
      <u/>
      <color rgb="FF0000FF"/>
    </font>
    <font>
      <color theme="1"/>
      <name val="Arial"/>
      <scheme val="minor"/>
    </font>
    <font>
      <u/>
      <color rgb="FF434343"/>
      <name val="Roboto"/>
    </font>
    <font>
      <u/>
      <color rgb="FF434343"/>
      <name val="Arial"/>
    </font>
    <font>
      <u/>
      <color rgb="FF0000FF"/>
      <name val="Arial"/>
    </font>
    <font>
      <u/>
      <color rgb="FF000000"/>
      <name val="Roboto"/>
    </font>
    <font>
      <u/>
      <color rgb="FF434343"/>
      <name val="Roboto"/>
    </font>
    <font>
      <u/>
      <color rgb="FF0000FF"/>
      <name val="Roboto"/>
    </font>
    <font>
      <u/>
      <color rgb="FF434343"/>
      <name val="Arial"/>
    </font>
    <font>
      <u/>
      <color rgb="FF434343"/>
      <name val="Roboto"/>
    </font>
    <font>
      <sz val="10.0"/>
      <color rgb="FF000000"/>
      <name val="Arial"/>
    </font>
    <font>
      <u/>
      <color rgb="FF434343"/>
      <name val="Roboto"/>
    </font>
    <font>
      <u/>
      <color rgb="FF0000FF"/>
    </font>
    <font>
      <u/>
      <sz val="12.0"/>
      <color rgb="FF434343"/>
      <name val="System-ui"/>
    </font>
    <font>
      <u/>
      <color rgb="FF0000FF"/>
    </font>
    <font>
      <u/>
      <color rgb="FF434343"/>
      <name val="Arial"/>
    </font>
    <font>
      <u/>
      <color rgb="FF0000FF"/>
      <name val="Arial"/>
    </font>
    <font>
      <u/>
      <color rgb="FF434343"/>
      <name val="Roboto"/>
    </font>
    <font>
      <u/>
      <color rgb="FF0000FF"/>
    </font>
    <font>
      <u/>
      <color rgb="FF434343"/>
      <name val="Roboto"/>
    </font>
    <font>
      <u/>
      <color rgb="FF434343"/>
      <name val="Roboto"/>
    </font>
    <font>
      <u/>
      <color rgb="FF434343"/>
      <name val="Roboto"/>
    </font>
    <font>
      <u/>
      <color rgb="FF434343"/>
      <name val="Roboto"/>
    </font>
    <font>
      <u/>
      <color rgb="FF0000FF"/>
    </font>
    <font>
      <u/>
      <color rgb="FF434343"/>
      <name val="Roboto"/>
    </font>
    <font>
      <u/>
      <color rgb="FF434343"/>
      <name val="Roboto"/>
    </font>
    <font>
      <u/>
      <sz val="12.0"/>
      <color rgb="FF434343"/>
      <name val="System-ui"/>
    </font>
    <font>
      <u/>
      <sz val="12.0"/>
      <color rgb="FF434343"/>
      <name val="System-ui"/>
    </font>
    <font>
      <u/>
      <color rgb="FF434343"/>
      <name val="Roboto"/>
    </font>
    <font>
      <u/>
      <color rgb="FF000000"/>
      <name val="Roboto"/>
    </font>
    <font>
      <u/>
      <color rgb="FF000000"/>
      <name val="Roboto"/>
    </font>
    <font>
      <u/>
      <color rgb="FF434343"/>
      <name val="Roboto"/>
    </font>
    <font>
      <u/>
      <color rgb="FF434343"/>
      <name val="Arial"/>
    </font>
    <font>
      <u/>
      <color rgb="FF434343"/>
      <name val="Roboto"/>
    </font>
    <font>
      <u/>
      <sz val="12.0"/>
      <color rgb="FF434343"/>
      <name val="System-ui"/>
    </font>
    <font>
      <u/>
      <color rgb="FF434343"/>
      <name val="Roboto"/>
    </font>
    <font>
      <u/>
      <color rgb="FF434343"/>
      <name val="Roboto"/>
    </font>
    <font>
      <u/>
      <color rgb="FF434343"/>
      <name val="Roboto"/>
    </font>
    <font>
      <u/>
      <color rgb="FF000000"/>
      <name val="Roboto"/>
    </font>
    <font>
      <u/>
      <color rgb="FF0000FF"/>
      <name val="Roboto"/>
    </font>
    <font>
      <u/>
      <color rgb="FF434343"/>
      <name val="Roboto"/>
    </font>
    <font>
      <u/>
      <color rgb="FF000000"/>
      <name val="Roboto"/>
    </font>
    <font>
      <color theme="1"/>
      <name val="Roboto"/>
    </font>
    <font>
      <u/>
      <color rgb="FF0000FF"/>
    </font>
    <font/>
    <font>
      <u/>
      <color rgb="FF0000FF"/>
    </font>
    <font>
      <u/>
      <color rgb="FF0000FF"/>
    </font>
    <font>
      <u/>
      <color rgb="FF0000FF"/>
    </font>
    <font>
      <u/>
      <color rgb="FF0000FF"/>
    </font>
    <font>
      <u/>
      <color rgb="FF0000FF"/>
    </font>
  </fonts>
  <fills count="9">
    <fill>
      <patternFill patternType="none"/>
    </fill>
    <fill>
      <patternFill patternType="lightGray"/>
    </fill>
    <fill>
      <patternFill patternType="solid">
        <fgColor rgb="FFCCCCCC"/>
        <bgColor rgb="FFCCCCCC"/>
      </patternFill>
    </fill>
    <fill>
      <patternFill patternType="solid">
        <fgColor rgb="FFFFE599"/>
        <bgColor rgb="FFFFE599"/>
      </patternFill>
    </fill>
    <fill>
      <patternFill patternType="solid">
        <fgColor rgb="FFFFFFFF"/>
        <bgColor rgb="FFFFFFFF"/>
      </patternFill>
    </fill>
    <fill>
      <patternFill patternType="solid">
        <fgColor rgb="FFF6F8F9"/>
        <bgColor rgb="FFF6F8F9"/>
      </patternFill>
    </fill>
    <fill>
      <patternFill patternType="solid">
        <fgColor rgb="FFF4CCCC"/>
        <bgColor rgb="FFF4CCCC"/>
      </patternFill>
    </fill>
    <fill>
      <patternFill patternType="solid">
        <fgColor rgb="FFFFF2CC"/>
        <bgColor rgb="FFFFF2CC"/>
      </patternFill>
    </fill>
    <fill>
      <patternFill patternType="solid">
        <fgColor rgb="FFD9D9D9"/>
        <bgColor rgb="FFD9D9D9"/>
      </patternFill>
    </fill>
  </fills>
  <borders count="12">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F5F8FF"/>
      </right>
      <top style="thin">
        <color rgb="FFF5F8FF"/>
      </top>
      <bottom style="thin">
        <color rgb="FFF5F8F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ck">
        <color rgb="FF000000"/>
      </left>
    </border>
    <border>
      <right style="thin">
        <color rgb="FF000000"/>
      </right>
    </border>
    <border>
      <right style="thick">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vertical="bottom"/>
    </xf>
    <xf borderId="0" fillId="0" fontId="3" numFmtId="0" xfId="0" applyAlignment="1" applyFont="1">
      <alignment readingOrder="0" shrinkToFit="0" vertical="center" wrapText="1"/>
    </xf>
    <xf borderId="0" fillId="0" fontId="3" numFmtId="0" xfId="0" applyAlignment="1" applyFont="1">
      <alignment readingOrder="0"/>
    </xf>
    <xf borderId="0" fillId="2" fontId="3" numFmtId="0" xfId="0" applyAlignment="1" applyFill="1" applyFont="1">
      <alignment horizontal="center" readingOrder="0"/>
    </xf>
    <xf borderId="0" fillId="3" fontId="3" numFmtId="0" xfId="0" applyAlignment="1" applyFill="1" applyFont="1">
      <alignment horizontal="center" readingOrder="0"/>
    </xf>
    <xf borderId="0" fillId="0" fontId="3" numFmtId="0" xfId="0" applyFont="1"/>
    <xf borderId="0" fillId="0" fontId="3" numFmtId="0" xfId="0" applyAlignment="1" applyFont="1">
      <alignment readingOrder="0" shrinkToFit="0" vertical="center" wrapText="0"/>
    </xf>
    <xf borderId="0" fillId="0" fontId="3" numFmtId="0" xfId="0" applyAlignment="1" applyFont="1">
      <alignment horizontal="center" readingOrder="0" shrinkToFit="0" vertical="center" wrapText="1"/>
    </xf>
    <xf borderId="0" fillId="2" fontId="3" numFmtId="0" xfId="0" applyAlignment="1" applyFont="1">
      <alignment readingOrder="0" shrinkToFit="0" vertical="center" wrapText="0"/>
    </xf>
    <xf borderId="0" fillId="2" fontId="3" numFmtId="46" xfId="0" applyAlignment="1" applyFont="1" applyNumberFormat="1">
      <alignment readingOrder="0" shrinkToFit="0" vertical="center" wrapText="0"/>
    </xf>
    <xf borderId="0" fillId="3" fontId="3" numFmtId="0" xfId="0" applyAlignment="1" applyFont="1">
      <alignment readingOrder="0" shrinkToFit="0" vertical="center" wrapText="0"/>
    </xf>
    <xf borderId="0" fillId="3" fontId="3" numFmtId="46" xfId="0" applyAlignment="1" applyFont="1" applyNumberFormat="1">
      <alignment readingOrder="0" shrinkToFit="0" vertical="center" wrapText="0"/>
    </xf>
    <xf borderId="0" fillId="0" fontId="3" numFmtId="0" xfId="0" applyAlignment="1" applyFont="1">
      <alignment shrinkToFit="0" wrapText="0"/>
    </xf>
    <xf borderId="0" fillId="4" fontId="4" numFmtId="0" xfId="0" applyAlignment="1" applyFill="1" applyFont="1">
      <alignment shrinkToFit="0" wrapText="1"/>
    </xf>
    <xf borderId="0" fillId="4" fontId="5" numFmtId="164" xfId="0" applyAlignment="1" applyFont="1" applyNumberFormat="1">
      <alignment horizontal="right" shrinkToFit="0" wrapText="0"/>
    </xf>
    <xf borderId="0" fillId="0" fontId="6" numFmtId="0" xfId="0" applyAlignment="1" applyFont="1">
      <alignment readingOrder="0" shrinkToFit="0" vertical="center" wrapText="1"/>
    </xf>
    <xf borderId="0" fillId="0" fontId="7" numFmtId="0" xfId="0" applyAlignment="1" applyFont="1">
      <alignment readingOrder="0"/>
    </xf>
    <xf borderId="0" fillId="2" fontId="7" numFmtId="3" xfId="0" applyAlignment="1" applyFont="1" applyNumberFormat="1">
      <alignment readingOrder="0"/>
    </xf>
    <xf borderId="0" fillId="2" fontId="7" numFmtId="46" xfId="0" applyAlignment="1" applyFont="1" applyNumberFormat="1">
      <alignment readingOrder="0"/>
    </xf>
    <xf borderId="0" fillId="2" fontId="7" numFmtId="10" xfId="0" applyAlignment="1" applyFont="1" applyNumberFormat="1">
      <alignment readingOrder="0"/>
    </xf>
    <xf borderId="0" fillId="3" fontId="7" numFmtId="3" xfId="0" applyAlignment="1" applyFont="1" applyNumberFormat="1">
      <alignment readingOrder="0"/>
    </xf>
    <xf borderId="0" fillId="3" fontId="7" numFmtId="46" xfId="0" applyAlignment="1" applyFont="1" applyNumberFormat="1">
      <alignment readingOrder="0"/>
    </xf>
    <xf borderId="0" fillId="3" fontId="7" numFmtId="10" xfId="0" applyAlignment="1" applyFont="1" applyNumberFormat="1">
      <alignment readingOrder="0"/>
    </xf>
    <xf borderId="0" fillId="5" fontId="8" numFmtId="0" xfId="0" applyAlignment="1" applyFill="1" applyFont="1">
      <alignment shrinkToFit="0" wrapText="1"/>
    </xf>
    <xf borderId="0" fillId="5" fontId="5" numFmtId="164" xfId="0" applyAlignment="1" applyFont="1" applyNumberFormat="1">
      <alignment horizontal="right" shrinkToFit="0" wrapText="0"/>
    </xf>
    <xf borderId="0" fillId="4" fontId="9" numFmtId="0" xfId="0" applyAlignment="1" applyFont="1">
      <alignment shrinkToFit="0" wrapText="0"/>
    </xf>
    <xf borderId="0" fillId="0" fontId="10" numFmtId="0" xfId="0" applyAlignment="1" applyFont="1">
      <alignment readingOrder="0" shrinkToFit="0" wrapText="1"/>
    </xf>
    <xf borderId="0" fillId="4" fontId="11" numFmtId="0" xfId="0" applyAlignment="1" applyFont="1">
      <alignment shrinkToFit="0" wrapText="1"/>
    </xf>
    <xf borderId="0" fillId="4" fontId="12" numFmtId="0" xfId="0" applyAlignment="1" applyFont="1">
      <alignment readingOrder="0" shrinkToFit="0" wrapText="0"/>
    </xf>
    <xf borderId="0" fillId="4" fontId="5" numFmtId="164" xfId="0" applyAlignment="1" applyFont="1" applyNumberFormat="1">
      <alignment horizontal="right" readingOrder="0" shrinkToFit="0" wrapText="0"/>
    </xf>
    <xf borderId="0" fillId="0" fontId="13" numFmtId="0" xfId="0" applyAlignment="1" applyFont="1">
      <alignment readingOrder="0" shrinkToFit="0" wrapText="1"/>
    </xf>
    <xf borderId="0" fillId="5" fontId="14" numFmtId="0" xfId="0" applyAlignment="1" applyFont="1">
      <alignment shrinkToFit="0" wrapText="0"/>
    </xf>
    <xf borderId="0" fillId="2" fontId="7" numFmtId="0" xfId="0" applyAlignment="1" applyFont="1">
      <alignment readingOrder="0"/>
    </xf>
    <xf borderId="0" fillId="4" fontId="15" numFmtId="0" xfId="0" applyAlignment="1" applyFont="1">
      <alignment shrinkToFit="0" wrapText="0"/>
    </xf>
    <xf borderId="0" fillId="2" fontId="1" numFmtId="3" xfId="0" applyAlignment="1" applyFont="1" applyNumberFormat="1">
      <alignment horizontal="right" vertical="bottom"/>
    </xf>
    <xf borderId="0" fillId="2" fontId="1" numFmtId="46" xfId="0" applyAlignment="1" applyFont="1" applyNumberFormat="1">
      <alignment horizontal="right" vertical="bottom"/>
    </xf>
    <xf borderId="0" fillId="2" fontId="1" numFmtId="10" xfId="0" applyAlignment="1" applyFont="1" applyNumberFormat="1">
      <alignment horizontal="right" vertical="bottom"/>
    </xf>
    <xf borderId="0" fillId="3" fontId="1" numFmtId="3" xfId="0" applyAlignment="1" applyFont="1" applyNumberFormat="1">
      <alignment horizontal="right" vertical="bottom"/>
    </xf>
    <xf borderId="0" fillId="3" fontId="1" numFmtId="46" xfId="0" applyAlignment="1" applyFont="1" applyNumberFormat="1">
      <alignment horizontal="right" vertical="bottom"/>
    </xf>
    <xf borderId="0" fillId="3" fontId="1" numFmtId="10" xfId="0" applyAlignment="1" applyFont="1" applyNumberFormat="1">
      <alignment horizontal="right" vertical="bottom"/>
    </xf>
    <xf borderId="0" fillId="3" fontId="7" numFmtId="0" xfId="0" applyAlignment="1" applyFont="1">
      <alignment readingOrder="0"/>
    </xf>
    <xf borderId="0" fillId="3" fontId="16" numFmtId="3" xfId="0" applyAlignment="1" applyFont="1" applyNumberFormat="1">
      <alignment horizontal="right" readingOrder="0" shrinkToFit="0" wrapText="0"/>
    </xf>
    <xf borderId="1" fillId="4" fontId="17" numFmtId="0" xfId="0" applyAlignment="1" applyBorder="1" applyFont="1">
      <alignment shrinkToFit="0" wrapText="0"/>
    </xf>
    <xf borderId="2" fillId="4" fontId="5" numFmtId="164" xfId="0" applyAlignment="1" applyBorder="1" applyFont="1" applyNumberFormat="1">
      <alignment horizontal="right" shrinkToFit="0" wrapText="0"/>
    </xf>
    <xf borderId="1" fillId="0" fontId="18" numFmtId="0" xfId="0" applyAlignment="1" applyBorder="1" applyFont="1">
      <alignment readingOrder="0" shrinkToFit="0" vertical="center" wrapText="1"/>
    </xf>
    <xf borderId="0" fillId="6" fontId="19" numFmtId="0" xfId="0" applyAlignment="1" applyFill="1" applyFont="1">
      <alignment shrinkToFit="0" wrapText="1"/>
    </xf>
    <xf borderId="0" fillId="6" fontId="5" numFmtId="164" xfId="0" applyAlignment="1" applyFont="1" applyNumberFormat="1">
      <alignment horizontal="right" shrinkToFit="0" wrapText="0"/>
    </xf>
    <xf borderId="0" fillId="6" fontId="20" numFmtId="0" xfId="0" applyAlignment="1" applyFont="1">
      <alignment readingOrder="0" shrinkToFit="0" vertical="center" wrapText="1"/>
    </xf>
    <xf borderId="0" fillId="6" fontId="7" numFmtId="0" xfId="0" applyAlignment="1" applyFont="1">
      <alignment readingOrder="0"/>
    </xf>
    <xf borderId="0" fillId="6" fontId="7" numFmtId="3" xfId="0" applyAlignment="1" applyFont="1" applyNumberFormat="1">
      <alignment readingOrder="0"/>
    </xf>
    <xf borderId="0" fillId="6" fontId="7" numFmtId="46" xfId="0" applyAlignment="1" applyFont="1" applyNumberFormat="1">
      <alignment readingOrder="0"/>
    </xf>
    <xf borderId="0" fillId="6" fontId="7" numFmtId="10" xfId="0" applyAlignment="1" applyFont="1" applyNumberFormat="1">
      <alignment readingOrder="0"/>
    </xf>
    <xf borderId="0" fillId="4" fontId="7" numFmtId="0" xfId="0" applyFont="1"/>
    <xf borderId="3" fillId="4" fontId="21" numFmtId="0" xfId="0" applyAlignment="1" applyBorder="1" applyFont="1">
      <alignment shrinkToFit="0" wrapText="0"/>
    </xf>
    <xf borderId="4" fillId="4" fontId="5" numFmtId="164" xfId="0" applyAlignment="1" applyBorder="1" applyFont="1" applyNumberFormat="1">
      <alignment horizontal="right" shrinkToFit="0" wrapText="0"/>
    </xf>
    <xf borderId="3" fillId="0" fontId="22" numFmtId="0" xfId="0" applyAlignment="1" applyBorder="1" applyFont="1">
      <alignment readingOrder="0" shrinkToFit="0" wrapText="1"/>
    </xf>
    <xf borderId="3" fillId="5" fontId="23" numFmtId="0" xfId="0" applyAlignment="1" applyBorder="1" applyFont="1">
      <alignment shrinkToFit="0" wrapText="1"/>
    </xf>
    <xf borderId="4" fillId="5" fontId="5" numFmtId="164" xfId="0" applyAlignment="1" applyBorder="1" applyFont="1" applyNumberFormat="1">
      <alignment horizontal="right" shrinkToFit="0" wrapText="0"/>
    </xf>
    <xf borderId="3" fillId="0" fontId="24" numFmtId="0" xfId="0" applyAlignment="1" applyBorder="1" applyFont="1">
      <alignment readingOrder="0" shrinkToFit="0" vertical="center" wrapText="1"/>
    </xf>
    <xf borderId="1" fillId="4" fontId="25" numFmtId="0" xfId="0" applyAlignment="1" applyBorder="1" applyFont="1">
      <alignment readingOrder="0" shrinkToFit="0" wrapText="1"/>
    </xf>
    <xf borderId="1" fillId="5" fontId="26" numFmtId="0" xfId="0" applyAlignment="1" applyBorder="1" applyFont="1">
      <alignment shrinkToFit="0" wrapText="0"/>
    </xf>
    <xf borderId="2" fillId="5" fontId="5" numFmtId="164" xfId="0" applyAlignment="1" applyBorder="1" applyFont="1" applyNumberFormat="1">
      <alignment horizontal="right" shrinkToFit="0" wrapText="0"/>
    </xf>
    <xf borderId="3" fillId="4" fontId="27" numFmtId="0" xfId="0" applyAlignment="1" applyBorder="1" applyFont="1">
      <alignment readingOrder="0" shrinkToFit="0" wrapText="1"/>
    </xf>
    <xf borderId="1" fillId="5" fontId="28" numFmtId="0" xfId="0" applyAlignment="1" applyBorder="1" applyFont="1">
      <alignment shrinkToFit="0" wrapText="1"/>
    </xf>
    <xf borderId="0" fillId="2" fontId="7" numFmtId="21" xfId="0" applyAlignment="1" applyFont="1" applyNumberFormat="1">
      <alignment readingOrder="0"/>
    </xf>
    <xf borderId="0" fillId="0" fontId="29" numFmtId="0" xfId="0" applyAlignment="1" applyFont="1">
      <alignment readingOrder="0" shrinkToFit="0" vertical="center" wrapText="1"/>
    </xf>
    <xf borderId="1" fillId="5" fontId="30" numFmtId="0" xfId="0" applyAlignment="1" applyBorder="1" applyFont="1">
      <alignment readingOrder="0" shrinkToFit="0" wrapText="0"/>
    </xf>
    <xf borderId="2" fillId="5" fontId="5" numFmtId="164" xfId="0" applyAlignment="1" applyBorder="1" applyFont="1" applyNumberFormat="1">
      <alignment horizontal="right" readingOrder="0" shrinkToFit="0" wrapText="0"/>
    </xf>
    <xf borderId="3" fillId="4" fontId="31" numFmtId="0" xfId="0" applyAlignment="1" applyBorder="1" applyFont="1">
      <alignment shrinkToFit="0" wrapText="1"/>
    </xf>
    <xf borderId="3" fillId="4" fontId="32" numFmtId="0" xfId="0" applyAlignment="1" applyBorder="1" applyFont="1">
      <alignment shrinkToFit="0" wrapText="1"/>
    </xf>
    <xf borderId="1" fillId="5" fontId="33" numFmtId="0" xfId="0" applyAlignment="1" applyBorder="1" applyFont="1">
      <alignment shrinkToFit="0" wrapText="1"/>
    </xf>
    <xf borderId="3" fillId="4" fontId="34" numFmtId="0" xfId="0" applyAlignment="1" applyBorder="1" applyFont="1">
      <alignment readingOrder="0" shrinkToFit="0" wrapText="0"/>
    </xf>
    <xf borderId="4" fillId="4" fontId="5" numFmtId="164" xfId="0" applyAlignment="1" applyBorder="1" applyFont="1" applyNumberFormat="1">
      <alignment horizontal="right" readingOrder="0" shrinkToFit="0" wrapText="0"/>
    </xf>
    <xf borderId="1" fillId="5" fontId="35" numFmtId="0" xfId="0" applyAlignment="1" applyBorder="1" applyFont="1">
      <alignment readingOrder="0" shrinkToFit="0" wrapText="0"/>
    </xf>
    <xf borderId="3" fillId="4" fontId="36" numFmtId="0" xfId="0" applyAlignment="1" applyBorder="1" applyFont="1">
      <alignment shrinkToFit="0" wrapText="0"/>
    </xf>
    <xf borderId="0" fillId="3" fontId="7" numFmtId="21" xfId="0" applyAlignment="1" applyFont="1" applyNumberFormat="1">
      <alignment readingOrder="0"/>
    </xf>
    <xf borderId="3" fillId="4" fontId="37" numFmtId="0" xfId="0" applyAlignment="1" applyBorder="1" applyFont="1">
      <alignment shrinkToFit="0" wrapText="0"/>
    </xf>
    <xf borderId="0" fillId="2" fontId="7" numFmtId="0" xfId="0" applyFont="1"/>
    <xf borderId="0" fillId="3" fontId="7" numFmtId="0" xfId="0" applyFont="1"/>
    <xf borderId="1" fillId="5" fontId="38" numFmtId="0" xfId="0" applyAlignment="1" applyBorder="1" applyFont="1">
      <alignment shrinkToFit="0" wrapText="0"/>
    </xf>
    <xf borderId="5" fillId="4" fontId="39" numFmtId="0" xfId="0" applyAlignment="1" applyBorder="1" applyFont="1">
      <alignment shrinkToFit="0" wrapText="1"/>
    </xf>
    <xf borderId="5" fillId="6" fontId="40" numFmtId="0" xfId="0" applyAlignment="1" applyBorder="1" applyFont="1">
      <alignment shrinkToFit="0" wrapText="1"/>
    </xf>
    <xf borderId="2" fillId="6" fontId="5" numFmtId="164" xfId="0" applyAlignment="1" applyBorder="1" applyFont="1" applyNumberFormat="1">
      <alignment horizontal="right" shrinkToFit="0" wrapText="0"/>
    </xf>
    <xf borderId="5" fillId="5" fontId="41" numFmtId="0" xfId="0" applyAlignment="1" applyBorder="1" applyFont="1">
      <alignment shrinkToFit="0" wrapText="1"/>
    </xf>
    <xf borderId="5" fillId="5" fontId="42" numFmtId="0" xfId="0" applyAlignment="1" applyBorder="1" applyFont="1">
      <alignment readingOrder="0" shrinkToFit="0" wrapText="0"/>
    </xf>
    <xf borderId="1" fillId="4" fontId="43" numFmtId="0" xfId="0" applyAlignment="1" applyBorder="1" applyFont="1">
      <alignment readingOrder="0" shrinkToFit="0" wrapText="0"/>
    </xf>
    <xf borderId="1" fillId="5" fontId="44" numFmtId="0" xfId="0" applyAlignment="1" applyBorder="1" applyFont="1">
      <alignment shrinkToFit="0" vertical="bottom" wrapText="0"/>
    </xf>
    <xf borderId="2" fillId="5" fontId="5" numFmtId="164" xfId="0" applyAlignment="1" applyBorder="1" applyFont="1" applyNumberFormat="1">
      <alignment horizontal="right" shrinkToFit="0" vertical="bottom" wrapText="0"/>
    </xf>
    <xf borderId="0" fillId="0" fontId="45" numFmtId="0" xfId="0" applyAlignment="1" applyFont="1">
      <alignment readingOrder="0" shrinkToFit="0" vertical="bottom" wrapText="1"/>
    </xf>
    <xf borderId="0" fillId="0" fontId="1" numFmtId="0" xfId="0" applyAlignment="1" applyFont="1">
      <alignment readingOrder="0" vertical="bottom"/>
    </xf>
    <xf borderId="0" fillId="2" fontId="1" numFmtId="0" xfId="0" applyAlignment="1" applyFont="1">
      <alignment readingOrder="0" vertical="bottom"/>
    </xf>
    <xf borderId="0" fillId="2" fontId="1" numFmtId="46" xfId="0" applyAlignment="1" applyFont="1" applyNumberFormat="1">
      <alignment readingOrder="0" vertical="bottom"/>
    </xf>
    <xf borderId="0" fillId="2" fontId="1" numFmtId="10" xfId="0" applyAlignment="1" applyFont="1" applyNumberFormat="1">
      <alignment readingOrder="0" vertical="bottom"/>
    </xf>
    <xf borderId="0" fillId="3" fontId="1" numFmtId="0" xfId="0" applyAlignment="1" applyFont="1">
      <alignment readingOrder="0" vertical="bottom"/>
    </xf>
    <xf borderId="0" fillId="3" fontId="1" numFmtId="46" xfId="0" applyAlignment="1" applyFont="1" applyNumberFormat="1">
      <alignment readingOrder="0" vertical="bottom"/>
    </xf>
    <xf borderId="0" fillId="3" fontId="1" numFmtId="10" xfId="0" applyAlignment="1" applyFont="1" applyNumberFormat="1">
      <alignment readingOrder="0" vertical="bottom"/>
    </xf>
    <xf borderId="0" fillId="0" fontId="1" numFmtId="0" xfId="0" applyAlignment="1" applyFont="1">
      <alignment vertical="bottom"/>
    </xf>
    <xf borderId="0" fillId="0" fontId="7" numFmtId="0" xfId="0" applyAlignment="1" applyFont="1">
      <alignment horizontal="right" readingOrder="0"/>
    </xf>
    <xf borderId="6" fillId="5" fontId="46" numFmtId="0" xfId="0" applyAlignment="1" applyBorder="1" applyFont="1">
      <alignment readingOrder="0" shrinkToFit="0" wrapText="0"/>
    </xf>
    <xf borderId="7" fillId="5" fontId="5" numFmtId="164" xfId="0" applyAlignment="1" applyBorder="1" applyFont="1" applyNumberFormat="1">
      <alignment horizontal="right" readingOrder="0" shrinkToFit="0" wrapText="0"/>
    </xf>
    <xf borderId="0" fillId="0" fontId="7" numFmtId="0" xfId="0" applyAlignment="1" applyFont="1">
      <alignment readingOrder="0" shrinkToFit="0" vertical="center" wrapText="1"/>
    </xf>
    <xf borderId="0" fillId="4" fontId="5" numFmtId="165" xfId="0" applyAlignment="1" applyFont="1" applyNumberFormat="1">
      <alignment horizontal="right" readingOrder="0" shrinkToFit="0" wrapText="0"/>
    </xf>
    <xf borderId="0" fillId="5" fontId="5" numFmtId="165" xfId="0" applyAlignment="1" applyFont="1" applyNumberFormat="1">
      <alignment horizontal="right" readingOrder="0" shrinkToFit="0" wrapText="0"/>
    </xf>
    <xf borderId="0" fillId="0" fontId="7" numFmtId="0" xfId="0" applyAlignment="1" applyFont="1">
      <alignment shrinkToFit="0" vertical="center" wrapText="1"/>
    </xf>
    <xf borderId="0" fillId="0" fontId="7" numFmtId="46" xfId="0" applyFont="1" applyNumberFormat="1"/>
    <xf borderId="1" fillId="4" fontId="47" numFmtId="0" xfId="0" applyAlignment="1" applyBorder="1" applyFont="1">
      <alignment readingOrder="0" shrinkToFit="0" wrapText="0"/>
    </xf>
    <xf borderId="2" fillId="4" fontId="5" numFmtId="164" xfId="0" applyAlignment="1" applyBorder="1" applyFont="1" applyNumberFormat="1">
      <alignment horizontal="right" readingOrder="0" shrinkToFit="0" wrapText="0"/>
    </xf>
    <xf borderId="1" fillId="0" fontId="48" numFmtId="0" xfId="0" applyAlignment="1" applyBorder="1" applyFont="1">
      <alignment readingOrder="0" shrinkToFit="0" wrapText="1"/>
    </xf>
    <xf borderId="0" fillId="0" fontId="7" numFmtId="0" xfId="0" applyAlignment="1" applyFont="1">
      <alignment readingOrder="0" shrinkToFit="0" vertical="center" wrapText="1"/>
    </xf>
    <xf borderId="0" fillId="0" fontId="49" numFmtId="0" xfId="0" applyAlignment="1" applyFont="1">
      <alignment readingOrder="0"/>
    </xf>
    <xf borderId="0" fillId="4" fontId="7" numFmtId="46" xfId="0" applyFont="1" applyNumberFormat="1"/>
    <xf borderId="0" fillId="2" fontId="7" numFmtId="46" xfId="0" applyFont="1" applyNumberFormat="1"/>
    <xf borderId="0" fillId="3" fontId="7" numFmtId="46" xfId="0" applyFont="1" applyNumberFormat="1"/>
    <xf borderId="0" fillId="0" fontId="7" numFmtId="1" xfId="0" applyAlignment="1" applyFont="1" applyNumberFormat="1">
      <alignment readingOrder="0" shrinkToFit="0" vertical="center" wrapText="0"/>
    </xf>
    <xf borderId="0" fillId="0" fontId="7" numFmtId="10" xfId="0" applyAlignment="1" applyFont="1" applyNumberFormat="1">
      <alignment readingOrder="0" shrinkToFit="0" vertical="center" wrapText="0"/>
    </xf>
    <xf borderId="0" fillId="0" fontId="7" numFmtId="1" xfId="0" applyFont="1" applyNumberFormat="1"/>
    <xf borderId="0" fillId="0" fontId="7" numFmtId="10" xfId="0" applyFont="1" applyNumberFormat="1"/>
    <xf borderId="8" fillId="0" fontId="3" numFmtId="0" xfId="0" applyAlignment="1" applyBorder="1" applyFont="1">
      <alignment horizontal="center" readingOrder="0"/>
    </xf>
    <xf borderId="9" fillId="0" fontId="50" numFmtId="0" xfId="0" applyBorder="1" applyFont="1"/>
    <xf borderId="10" fillId="0" fontId="50" numFmtId="0" xfId="0" applyBorder="1" applyFont="1"/>
    <xf borderId="0" fillId="0" fontId="3" numFmtId="0" xfId="0" applyAlignment="1" applyFont="1">
      <alignment horizontal="center" readingOrder="0" vertical="center"/>
    </xf>
    <xf borderId="8" fillId="0" fontId="3" numFmtId="0" xfId="0" applyAlignment="1" applyBorder="1" applyFont="1">
      <alignment readingOrder="0" shrinkToFit="0" vertical="center" wrapText="0"/>
    </xf>
    <xf borderId="0" fillId="0" fontId="3" numFmtId="46" xfId="0" applyAlignment="1" applyFont="1" applyNumberFormat="1">
      <alignment horizontal="center" readingOrder="0" shrinkToFit="0" vertical="center" wrapText="1"/>
    </xf>
    <xf borderId="10" fillId="0" fontId="3" numFmtId="0" xfId="0" applyAlignment="1" applyBorder="1" applyFont="1">
      <alignment readingOrder="0" shrinkToFit="0" vertical="center" wrapText="0"/>
    </xf>
    <xf borderId="0" fillId="0" fontId="7" numFmtId="166" xfId="0" applyAlignment="1" applyFont="1" applyNumberFormat="1">
      <alignment readingOrder="0" shrinkToFit="0" vertical="center" wrapText="1"/>
    </xf>
    <xf borderId="0" fillId="2" fontId="51" numFmtId="0" xfId="0" applyAlignment="1" applyFont="1">
      <alignment readingOrder="0" shrinkToFit="0" vertical="center" wrapText="1"/>
    </xf>
    <xf borderId="8" fillId="2" fontId="7" numFmtId="3" xfId="0" applyAlignment="1" applyBorder="1" applyFont="1" applyNumberFormat="1">
      <alignment readingOrder="0"/>
    </xf>
    <xf borderId="10" fillId="2" fontId="7" numFmtId="10" xfId="0" applyAlignment="1" applyBorder="1" applyFont="1" applyNumberFormat="1">
      <alignment readingOrder="0"/>
    </xf>
    <xf borderId="0" fillId="7" fontId="7" numFmtId="0" xfId="0" applyAlignment="1" applyFill="1" applyFont="1">
      <alignment readingOrder="0"/>
    </xf>
    <xf borderId="0" fillId="7" fontId="52" numFmtId="0" xfId="0" applyAlignment="1" applyFont="1">
      <alignment readingOrder="0" shrinkToFit="0" vertical="center" wrapText="1"/>
    </xf>
    <xf borderId="8" fillId="7" fontId="7" numFmtId="3" xfId="0" applyAlignment="1" applyBorder="1" applyFont="1" applyNumberFormat="1">
      <alignment readingOrder="0"/>
    </xf>
    <xf borderId="0" fillId="7" fontId="7" numFmtId="3" xfId="0" applyAlignment="1" applyFont="1" applyNumberFormat="1">
      <alignment readingOrder="0"/>
    </xf>
    <xf borderId="0" fillId="7" fontId="7" numFmtId="21" xfId="0" applyAlignment="1" applyFont="1" applyNumberFormat="1">
      <alignment readingOrder="0"/>
    </xf>
    <xf borderId="0" fillId="7" fontId="7" numFmtId="10" xfId="0" applyAlignment="1" applyFont="1" applyNumberFormat="1">
      <alignment readingOrder="0"/>
    </xf>
    <xf borderId="10" fillId="7" fontId="7" numFmtId="10" xfId="0" applyAlignment="1" applyBorder="1" applyFont="1" applyNumberFormat="1">
      <alignment readingOrder="0"/>
    </xf>
    <xf borderId="0" fillId="8" fontId="7" numFmtId="0" xfId="0" applyAlignment="1" applyFill="1" applyFont="1">
      <alignment readingOrder="0"/>
    </xf>
    <xf borderId="0" fillId="8" fontId="53" numFmtId="0" xfId="0" applyAlignment="1" applyFont="1">
      <alignment readingOrder="0" shrinkToFit="0" vertical="center" wrapText="1"/>
    </xf>
    <xf borderId="8" fillId="8" fontId="7" numFmtId="0" xfId="0" applyAlignment="1" applyBorder="1" applyFont="1">
      <alignment readingOrder="0"/>
    </xf>
    <xf borderId="0" fillId="8" fontId="7" numFmtId="46" xfId="0" applyAlignment="1" applyFont="1" applyNumberFormat="1">
      <alignment readingOrder="0"/>
    </xf>
    <xf borderId="0" fillId="8" fontId="7" numFmtId="10" xfId="0" applyAlignment="1" applyFont="1" applyNumberFormat="1">
      <alignment readingOrder="0"/>
    </xf>
    <xf borderId="10" fillId="8" fontId="7" numFmtId="10" xfId="0" applyAlignment="1" applyBorder="1" applyFont="1" applyNumberFormat="1">
      <alignment readingOrder="0"/>
    </xf>
    <xf borderId="0" fillId="7" fontId="54" numFmtId="0" xfId="0" applyAlignment="1" applyFont="1">
      <alignment readingOrder="0" shrinkToFit="0" vertical="center" wrapText="1"/>
    </xf>
    <xf borderId="8" fillId="7" fontId="7" numFmtId="0" xfId="0" applyBorder="1" applyFont="1"/>
    <xf borderId="0" fillId="7" fontId="7" numFmtId="0" xfId="0" applyFont="1"/>
    <xf borderId="10" fillId="7" fontId="7" numFmtId="0" xfId="0" applyBorder="1" applyFont="1"/>
    <xf borderId="0" fillId="8" fontId="55" numFmtId="0" xfId="0" applyAlignment="1" applyFont="1">
      <alignment readingOrder="0" shrinkToFit="0" vertical="center" wrapText="1"/>
    </xf>
    <xf borderId="8" fillId="7" fontId="7" numFmtId="0" xfId="0" applyAlignment="1" applyBorder="1" applyFont="1">
      <alignment readingOrder="0"/>
    </xf>
    <xf borderId="11" fillId="0" fontId="7" numFmtId="0" xfId="0" applyBorder="1"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2">
    <tableStyle count="2" pivot="0" name="Updated-style">
      <tableStyleElement dxfId="1" type="firstRowStripe"/>
      <tableStyleElement dxfId="2" type="secondRowStripe"/>
    </tableStyle>
    <tableStyle count="2" pivot="0" name="Updated-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ssica Ferland" id="{7d13e6bb-a923-44f4-ac92-36bc7843665a}" providerId="google-sheets"/>
  <x18tc:person displayName="jgemmell@asu.edu" id="{c0b5d6b4-729f-4a04-84af-0e12e3edcd81}" userId="jgemmell@asu.edu" providerId="google-sheets"/>
  <x18tc:person displayName="Diane Boudreau" id="{4826e21b-69ab-4a0e-9568-3631a73029b9}" providerId="google-sheets"/>
  <x18tc:person displayName="dianeb@asu.edu" id="{4ddf57c0-ff04-4087-b114-a8fdc909c7f6}" userId="dianeb@asu.edu" providerId="google-sheets"/>
</x18tc:personList>
</file>

<file path=xl/tables/table1.xml><?xml version="1.0" encoding="utf-8"?>
<table xmlns="http://schemas.openxmlformats.org/spreadsheetml/2006/main" headerRowCount="0" ref="A621" displayName="Table_1" name="Table_1" id="1">
  <tableColumns count="1">
    <tableColumn name="Column1" id="1"/>
  </tableColumns>
  <tableStyleInfo name="Updated-style" showColumnStripes="0" showFirstColumn="1" showLastColumn="1" showRowStripes="1"/>
</table>
</file>

<file path=xl/tables/table2.xml><?xml version="1.0" encoding="utf-8"?>
<table xmlns="http://schemas.openxmlformats.org/spreadsheetml/2006/main" headerRowCount="0" ref="B621" displayName="Table_2" name="Table_2" id="2">
  <tableColumns count="1">
    <tableColumn name="Column1" id="1"/>
  </tableColumns>
  <tableStyleInfo name="Updated-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7" dT="2025-09-29T21:37:45.00" personId="{4826e21b-69ab-4a0e-9568-3631a73029b9}" id="{e4de6f8b-2720-4986-b212-4973a64cad56}" done="0">
    <x18tc:text xml:space="preserve">@jgemmell@asu.edu The original post of this story had the date in the URL as 20240604</x18tc:text>
    <x18tc:mentions>
      <x18tc:mention mentionpersonId="{c0b5d6b4-729f-4a04-84af-0e12e3edcd81}" mentionId="{8a477513-d4dd-4fa1-8a42-58229531e804}" startIndex="0" length="17"/>
    </x18tc:mentions>
  </x18tc:threadedComment>
  <x18tc:threadedComment ref="C97" dT="2025-09-30T15:59:19.00" personId="{7d13e6bb-a923-44f4-ac92-36bc7843665a}" id="{705dfb76-a657-4693-b7f2-360f3b813080}" parentId="{e4de6f8b-2720-4986-b212-4973a64cad56}">
    <x18tc:text xml:space="preserve">@dianeb@asu.edu unfortunately once they update the URL I'm not able to access the analytics for the original URL.</x18tc:text>
    <x18tc:mentions>
      <x18tc:mention mentionpersonId="{4ddf57c0-ff04-4087-b114-a8fdc909c7f6}" mentionId="{36f585ef-50be-441f-bf7e-739f3ab20a65}" startIndex="0" length="15"/>
    </x18tc:mentions>
  </x18tc:threadedComment>
  <x18tc:threadedComment ref="C97" dT="2025-09-30T16:41:13.00" personId="{4826e21b-69ab-4a0e-9568-3631a73029b9}" id="{77ead7ab-bb7a-4196-bf08-8b622eb954e6}" parentId="{e4de6f8b-2720-4986-b212-4973a64cad56}">
    <x18tc:text xml:space="preserve">Oh no! Weirdly, I was able to get numbers for the original URL on our dashboard, but I'm going to talk to the ASU News editors about this because they shouldn't be changing story URLs on us!</x18tc:text>
  </x18tc:threadedComment>
  <x18tc:threadedComment ref="E2" dT="2025-10-23T18:37:53.00" personId="{7d13e6bb-a923-44f4-ac92-36bc7843665a}" id="{25c3e067-ef84-4241-a76b-a87054d1c696}" done="0">
    <x18tc:text xml:space="preserve">L &gt;1000 words</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news.asu.edu/20241120-environment-and-sustainability-world-full-plastic-not-fantastic" TargetMode="External"/><Relationship Id="rId190" Type="http://schemas.openxmlformats.org/officeDocument/2006/relationships/hyperlink" Target="http://news.asu.edu/b/20241021-exploring-molecules-motion" TargetMode="External"/><Relationship Id="rId42" Type="http://schemas.openxmlformats.org/officeDocument/2006/relationships/hyperlink" Target="https://news.asu.edu/20250130-environment-and-sustainability-adventurer-and-space-visionary-embarks-new-journey-asu" TargetMode="External"/><Relationship Id="rId41" Type="http://schemas.openxmlformats.org/officeDocument/2006/relationships/hyperlink" Target="http://news.asu.edu/20241120-environment-and-sustainability-world-full-plastic-not-fantastic" TargetMode="External"/><Relationship Id="rId44" Type="http://schemas.openxmlformats.org/officeDocument/2006/relationships/hyperlink" Target="https://news.asu.edu/20250328-science-and-technology-four-asu-researchers-named-senior-members-national-academy" TargetMode="External"/><Relationship Id="rId194" Type="http://schemas.openxmlformats.org/officeDocument/2006/relationships/hyperlink" Target="https://news.asu.edu/b/20240830-simulating-climate-interventions-experts-work-toward-climate-resilient-future-recent" TargetMode="External"/><Relationship Id="rId43" Type="http://schemas.openxmlformats.org/officeDocument/2006/relationships/hyperlink" Target="http://news.asu.edu/20250130-environment-and-sustainability-adventurer-and-space-visionary-embarks-new-journey-asu" TargetMode="External"/><Relationship Id="rId193" Type="http://schemas.openxmlformats.org/officeDocument/2006/relationships/hyperlink" Target="http://news.asu.edu/b/20241003-biodesign-center-single-molecule-biophysics-little-things-add" TargetMode="External"/><Relationship Id="rId46" Type="http://schemas.openxmlformats.org/officeDocument/2006/relationships/hyperlink" Target="https://news.asu.edu/20251021-health-and-medicine-food-medicine-event-cultivates-new-solutions-sustainable-health" TargetMode="External"/><Relationship Id="rId192" Type="http://schemas.openxmlformats.org/officeDocument/2006/relationships/hyperlink" Target="https://news.asu.edu/b/20241003-biodesign-center-single-molecule-biophysics-little-things-add" TargetMode="External"/><Relationship Id="rId45" Type="http://schemas.openxmlformats.org/officeDocument/2006/relationships/hyperlink" Target="http://news.asu.edu/20250328-science-and-technology-four-asu-researchers-named-senior-members-national-academy" TargetMode="External"/><Relationship Id="rId191" Type="http://schemas.openxmlformats.org/officeDocument/2006/relationships/hyperlink" Target="https://news.asu.edu/b/20250922-asubanner-conference-spotlight-advances-neurodegenerative-disease-research" TargetMode="External"/><Relationship Id="rId48" Type="http://schemas.openxmlformats.org/officeDocument/2006/relationships/hyperlink" Target="http://news.asu.edu/20250505-health-and-medicine-asu-invention-helps-people-worldwide-reach-weight-goals" TargetMode="External"/><Relationship Id="rId187" Type="http://schemas.openxmlformats.org/officeDocument/2006/relationships/hyperlink" Target="https://news.asu.edu/20240607-environment-and-sustainability-new-research-shows-transdisciplinary-approach-needed" TargetMode="External"/><Relationship Id="rId47" Type="http://schemas.openxmlformats.org/officeDocument/2006/relationships/hyperlink" Target="https://news.asu.edu/20250505-health-and-medicine-asu-invention-helps-people-worldwide-reach-weight-goals" TargetMode="External"/><Relationship Id="rId186" Type="http://schemas.openxmlformats.org/officeDocument/2006/relationships/hyperlink" Target="https://news.asu.edu/b/20250818-asu-welcomes-new-leader-groundbreaking-compact-xray-laser-project" TargetMode="External"/><Relationship Id="rId185" Type="http://schemas.openxmlformats.org/officeDocument/2006/relationships/hyperlink" Target="https://news.asu.edu/b/20250818-asu-welcomes-new-leader-groundbreaking-compact-xray-laser-project" TargetMode="External"/><Relationship Id="rId49" Type="http://schemas.openxmlformats.org/officeDocument/2006/relationships/hyperlink" Target="https://news.asu.edu/20240805-environment-and-sustainability-urban-forestry-accelerator-aims-boost-green-infrastructure" TargetMode="External"/><Relationship Id="rId184" Type="http://schemas.openxmlformats.org/officeDocument/2006/relationships/hyperlink" Target="http://news.asu.edu/b/20241014-stephanie-forrests-unique-integration-computation-biology-and-health" TargetMode="External"/><Relationship Id="rId189" Type="http://schemas.openxmlformats.org/officeDocument/2006/relationships/hyperlink" Target="https://news.asu.edu/b/20241021-exploring-molecules-motion" TargetMode="External"/><Relationship Id="rId188" Type="http://schemas.openxmlformats.org/officeDocument/2006/relationships/hyperlink" Target="http://news.asu.edu/20240520-environment-and-sustainability-new-research-shows-transdisciplinary-approach-needed" TargetMode="External"/><Relationship Id="rId31" Type="http://schemas.openxmlformats.org/officeDocument/2006/relationships/hyperlink" Target="http://news.asu.edu/20250812-science-and-technology-fast-accurate-lowcost-diagnostics-no-lab-required" TargetMode="External"/><Relationship Id="rId30" Type="http://schemas.openxmlformats.org/officeDocument/2006/relationships/hyperlink" Target="https://news.asu.edu/20250812-science-and-technology-fast-accurate-lowcost-diagnostics-no-lab-required" TargetMode="External"/><Relationship Id="rId33" Type="http://schemas.openxmlformats.org/officeDocument/2006/relationships/hyperlink" Target="http://news.asu.edu/20240624-environment-and-sustainability-global-futures-laboratory-asu-joins-doe-initiative-empower" TargetMode="External"/><Relationship Id="rId183" Type="http://schemas.openxmlformats.org/officeDocument/2006/relationships/hyperlink" Target="https://news.asu.edu/b/20241014-stephanie-forrests-unique-integration-computation-biology-and-health" TargetMode="External"/><Relationship Id="rId32" Type="http://schemas.openxmlformats.org/officeDocument/2006/relationships/hyperlink" Target="https://news.asu.edu/20240624-environment-and-sustainability-global-futures-laboratory-asu-joins-doe-initiative-empower" TargetMode="External"/><Relationship Id="rId182" Type="http://schemas.openxmlformats.org/officeDocument/2006/relationships/hyperlink" Target="https://news.asu.edu/b/20241030-revolutionizing-health-through-bioelectronics-and-biosensors" TargetMode="External"/><Relationship Id="rId35" Type="http://schemas.openxmlformats.org/officeDocument/2006/relationships/hyperlink" Target="http://news.asu.edu/20240702-swsie-appoints-new-ceo" TargetMode="External"/><Relationship Id="rId181" Type="http://schemas.openxmlformats.org/officeDocument/2006/relationships/hyperlink" Target="https://news.asu.edu/b/20241030-revolutionizing-health-through-bioelectronics-and-biosensors" TargetMode="External"/><Relationship Id="rId34" Type="http://schemas.openxmlformats.org/officeDocument/2006/relationships/hyperlink" Target="https://news.asu.edu/20240702-swsie-appoints-new-ceo" TargetMode="External"/><Relationship Id="rId180" Type="http://schemas.openxmlformats.org/officeDocument/2006/relationships/hyperlink" Target="https://news.asu.edu/20251020-science-and-technology-hate-having-upgrade-your-device-asu-fixing" TargetMode="External"/><Relationship Id="rId37" Type="http://schemas.openxmlformats.org/officeDocument/2006/relationships/hyperlink" Target="http://news.asu.edu/20250414-health-and-medicine-fighting-fungus-among-us" TargetMode="External"/><Relationship Id="rId176" Type="http://schemas.openxmlformats.org/officeDocument/2006/relationships/hyperlink" Target="http://news.asu.edu/20240207-environment-and-sustainability-firstofitskind-plastics-recycling-microfactory-transform" TargetMode="External"/><Relationship Id="rId36" Type="http://schemas.openxmlformats.org/officeDocument/2006/relationships/hyperlink" Target="https://news.asu.edu/20250414-health-and-medicine-fighting-fungus-among-us" TargetMode="External"/><Relationship Id="rId175" Type="http://schemas.openxmlformats.org/officeDocument/2006/relationships/hyperlink" Target="https://news.asu.edu/20240226-environment-and-sustainability-firstofitskind-plastics-recycling-microfactory-transform" TargetMode="External"/><Relationship Id="rId39" Type="http://schemas.openxmlformats.org/officeDocument/2006/relationships/hyperlink" Target="https://news.asu.edu/20250718-science-and-technology-study-aims-help-semiconductor-industry-be-more-sustainable" TargetMode="External"/><Relationship Id="rId174" Type="http://schemas.openxmlformats.org/officeDocument/2006/relationships/hyperlink" Target="http://news.asu.edu/20240428-sun-devil-community-phd-grad-honed-interdisciplinary-skills-asu" TargetMode="External"/><Relationship Id="rId38" Type="http://schemas.openxmlformats.org/officeDocument/2006/relationships/hyperlink" Target="https://news.asu.edu/20250718-science-and-technology-study-aims-help-semiconductor-industry-be-more-sustainable" TargetMode="External"/><Relationship Id="rId173" Type="http://schemas.openxmlformats.org/officeDocument/2006/relationships/hyperlink" Target="https://news.asu.edu/20240428-sun-devil-community-phd-grad-honed-interdisciplinary-skills-asu" TargetMode="External"/><Relationship Id="rId179" Type="http://schemas.openxmlformats.org/officeDocument/2006/relationships/hyperlink" Target="http://news.asu.edu/20240701-environment-and-sustainability-hidden-cost-american-food-system" TargetMode="External"/><Relationship Id="rId178" Type="http://schemas.openxmlformats.org/officeDocument/2006/relationships/hyperlink" Target="https://news.asu.edu/20240604-environment-and-sustainability-hidden-cost-american-food-system" TargetMode="External"/><Relationship Id="rId177" Type="http://schemas.openxmlformats.org/officeDocument/2006/relationships/hyperlink" Target="https://news.asu.edu/b/20250926-asu-hydrology-expert-wins-distinguished-science-award" TargetMode="External"/><Relationship Id="rId20" Type="http://schemas.openxmlformats.org/officeDocument/2006/relationships/hyperlink" Target="https://news.asu.edu/20250325-business-and-entrepreneurship-asu-and-godaddy-launch-studentathlete-venture-studio" TargetMode="External"/><Relationship Id="rId22" Type="http://schemas.openxmlformats.org/officeDocument/2006/relationships/hyperlink" Target="https://news.asu.edu/20250611-health-and-medicine-your-gut-microbiome-calorie-super-harvester" TargetMode="External"/><Relationship Id="rId21" Type="http://schemas.openxmlformats.org/officeDocument/2006/relationships/hyperlink" Target="https://news.asu.edu/20250611-health-and-medicine-your-gut-microbiome-calorie-super-harvester" TargetMode="External"/><Relationship Id="rId24" Type="http://schemas.openxmlformats.org/officeDocument/2006/relationships/hyperlink" Target="http://news.asu.edu/20240729-environment-and-sustainability-saving-lives-invisible-killer" TargetMode="External"/><Relationship Id="rId23" Type="http://schemas.openxmlformats.org/officeDocument/2006/relationships/hyperlink" Target="https://news.asu.edu/20240729-environment-and-sustainability-saving-lives-invisible-killer" TargetMode="External"/><Relationship Id="rId26" Type="http://schemas.openxmlformats.org/officeDocument/2006/relationships/hyperlink" Target="http://news.asu.edu/20250418-health-and-medicine-bird-flu-your-questions-symptoms-spread-and-safety-answered" TargetMode="External"/><Relationship Id="rId25" Type="http://schemas.openxmlformats.org/officeDocument/2006/relationships/hyperlink" Target="https://news.asu.edu/20250418-health-and-medicine-bird-flu-your-questions-symptoms-spread-and-safety-answered" TargetMode="External"/><Relationship Id="rId28" Type="http://schemas.openxmlformats.org/officeDocument/2006/relationships/hyperlink" Target="http://news.asu.edu/20250312-science-and-technology-new-study-explores-link-between-diet-blood-sugar-and-cancer-risk" TargetMode="External"/><Relationship Id="rId27" Type="http://schemas.openxmlformats.org/officeDocument/2006/relationships/hyperlink" Target="https://news.asu.edu/20250312-science-and-technology-new-study-explores-link-between-diet-blood-sugar-and-cancer-risk" TargetMode="External"/><Relationship Id="rId29" Type="http://schemas.openxmlformats.org/officeDocument/2006/relationships/hyperlink" Target="https://news.asu.edu/20251107-science-and-technology-asu-researchers-discover-dnabased-electronic-storage-system" TargetMode="External"/><Relationship Id="rId11" Type="http://schemas.openxmlformats.org/officeDocument/2006/relationships/hyperlink" Target="https://news.asu.edu/20240611-university-news-asu-retains-no-1-us-top-10-globally-impact-ranking-un-sustainable-goals" TargetMode="External"/><Relationship Id="rId10" Type="http://schemas.openxmlformats.org/officeDocument/2006/relationships/hyperlink" Target="https://news.asu.edu/20250725-environment-and-sustainability-new-global-study-shows-freshwater-disappearing-alarming" TargetMode="External"/><Relationship Id="rId13" Type="http://schemas.openxmlformats.org/officeDocument/2006/relationships/hyperlink" Target="https://news.asu.edu/20250312-science-and-technology-asuled-southwest-sustainability-innovation-engine-funds-8-promising-startups" TargetMode="External"/><Relationship Id="rId12" Type="http://schemas.openxmlformats.org/officeDocument/2006/relationships/hyperlink" Target="http://news.asu.edu/20240611-university-news-asu-retains-no-1-us-top-10-globally-impact-ranking-un-sustainable-goals" TargetMode="External"/><Relationship Id="rId15" Type="http://schemas.openxmlformats.org/officeDocument/2006/relationships/hyperlink" Target="https://news.asu.edu/20250430-business-and-entrepreneurship-asu-launches-sportx-new-initiative-unite-sports-entrepreneurship" TargetMode="External"/><Relationship Id="rId198" Type="http://schemas.openxmlformats.org/officeDocument/2006/relationships/hyperlink" Target="http://news.asu.edu/b/20250225-ramon-velazquez-discusses-brain-health-and-disease" TargetMode="External"/><Relationship Id="rId14" Type="http://schemas.openxmlformats.org/officeDocument/2006/relationships/hyperlink" Target="http://news.asu.edu/20250312-science-and-technology-asuled-nsf-futures-engine-in-the-southwest-funds-8-promising-startups" TargetMode="External"/><Relationship Id="rId197" Type="http://schemas.openxmlformats.org/officeDocument/2006/relationships/hyperlink" Target="https://news.asu.edu/b/20250225-ramon-velazquez-discuses-brain-health-and-disease" TargetMode="External"/><Relationship Id="rId17" Type="http://schemas.openxmlformats.org/officeDocument/2006/relationships/hyperlink" Target="https://news.asu.edu/20250828-health-and-medicine-what-you-need-know-about-dust-storms-and-valley-fever" TargetMode="External"/><Relationship Id="rId196" Type="http://schemas.openxmlformats.org/officeDocument/2006/relationships/hyperlink" Target="https://news.asu.edu/b/20250918-asu-donors-scholarship-continues-spark-discovery-students" TargetMode="External"/><Relationship Id="rId16" Type="http://schemas.openxmlformats.org/officeDocument/2006/relationships/hyperlink" Target="https://news.asu.edu/20250430-business-and-entrepreneurship-asu-launches-sportx-new-initiative-unite-sports-entrepreneurship" TargetMode="External"/><Relationship Id="rId195" Type="http://schemas.openxmlformats.org/officeDocument/2006/relationships/hyperlink" Target="http://news.asu.edu/b/20240830-simulating-climate-interventions-experts-work-toward-climate-resilient-future-recent" TargetMode="External"/><Relationship Id="rId19" Type="http://schemas.openxmlformats.org/officeDocument/2006/relationships/hyperlink" Target="https://news.asu.edu/20250325-business-and-entrepreneurship-asu-and-godaddy-launch-studentathlete-venture-studio" TargetMode="External"/><Relationship Id="rId18" Type="http://schemas.openxmlformats.org/officeDocument/2006/relationships/hyperlink" Target="https://news.asu.edu/20250910-science-and-technology-new-cancer-test-can-warn-patients-10-years-treatment-needed" TargetMode="External"/><Relationship Id="rId199" Type="http://schemas.openxmlformats.org/officeDocument/2006/relationships/hyperlink" Target="https://news.asu.edu/20240329-environment-and-sustainability-new-study-finds-previously-unreported-and-persistent" TargetMode="External"/><Relationship Id="rId84" Type="http://schemas.openxmlformats.org/officeDocument/2006/relationships/hyperlink" Target="https://news.asu.edu/20251020-science-and-technology-exploring-potential-link-between-microplastics-and-alzheimers" TargetMode="External"/><Relationship Id="rId83" Type="http://schemas.openxmlformats.org/officeDocument/2006/relationships/hyperlink" Target="http://news.asu.edu/20240814-environment-and-sustainability-asu-lab-brings-energy" TargetMode="External"/><Relationship Id="rId86" Type="http://schemas.openxmlformats.org/officeDocument/2006/relationships/hyperlink" Target="http://news.asu.edu/20240509-environment-and-sustainability-reef-restoration-program-celebrates-official-opening" TargetMode="External"/><Relationship Id="rId85" Type="http://schemas.openxmlformats.org/officeDocument/2006/relationships/hyperlink" Target="https://news.asu.edu/20240509-environment-and-sustainability-reef-restoration-program-celebrates-official-opening" TargetMode="External"/><Relationship Id="rId88" Type="http://schemas.openxmlformats.org/officeDocument/2006/relationships/hyperlink" Target="http://news.asu.edu/20250402-environment-and-sustainability-asu-amazon-student-bridges-communities-solar-canoe-project" TargetMode="External"/><Relationship Id="rId150" Type="http://schemas.openxmlformats.org/officeDocument/2006/relationships/hyperlink" Target="https://news.asu.edu/20240508-environment-and-sustainability-asu-researchers-working-better-understand-individual" TargetMode="External"/><Relationship Id="rId87" Type="http://schemas.openxmlformats.org/officeDocument/2006/relationships/hyperlink" Target="https://news.asu.edu/20250402-environment-and-sustainability-asu-amazon-student-bridges-communities-solar-canoe-project" TargetMode="External"/><Relationship Id="rId89" Type="http://schemas.openxmlformats.org/officeDocument/2006/relationships/hyperlink" Target="https://news.asu.edu/20250418-environment-and-sustainability-k12-corporate-upskilling-asu-guides-learners-all-ages" TargetMode="External"/><Relationship Id="rId80" Type="http://schemas.openxmlformats.org/officeDocument/2006/relationships/hyperlink" Target="https://news.asu.edu/20240808-science-and-technology-teaching-ai-about-social-intelligence-through-minecraft" TargetMode="External"/><Relationship Id="rId82" Type="http://schemas.openxmlformats.org/officeDocument/2006/relationships/hyperlink" Target="https://news.asu.edu/20240814-environment-and-sustainability-asu-lab-brings-energy" TargetMode="External"/><Relationship Id="rId81" Type="http://schemas.openxmlformats.org/officeDocument/2006/relationships/hyperlink" Target="http://news.asu.edu/20240805-science-and-technology-teaching-ai-about-social-intelligence-through-minecraf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news.asu.edu/20241028-environment-and-sustainability-10-climate-insights-guide-our-future" TargetMode="External"/><Relationship Id="rId4" Type="http://schemas.openxmlformats.org/officeDocument/2006/relationships/hyperlink" Target="https://docs.google.com/spreadsheets/d/1noiIQSfT7Pdn22VWdLyflMqLTOMU1xkUpMeeUPi905U/edit?usp=sharing" TargetMode="External"/><Relationship Id="rId148" Type="http://schemas.openxmlformats.org/officeDocument/2006/relationships/hyperlink" Target="https://news.asu.edu/20241028-environment-and-sustainability-10-climate-insights-guide-our-future" TargetMode="External"/><Relationship Id="rId9" Type="http://schemas.openxmlformats.org/officeDocument/2006/relationships/hyperlink" Target="https://news.asu.edu/20250725-environment-and-sustainability-new-global-study-shows-freshwater-disappearing-alarming" TargetMode="External"/><Relationship Id="rId143" Type="http://schemas.openxmlformats.org/officeDocument/2006/relationships/hyperlink" Target="https://news.asu.edu/20250929-science-and-technology-new-studies-shine-light-arctics-current-and-future-affairs" TargetMode="External"/><Relationship Id="rId142" Type="http://schemas.openxmlformats.org/officeDocument/2006/relationships/hyperlink" Target="https://news.asu.edu/20251006-science-and-technology-how-rabbit-virus-learned-infect-hares" TargetMode="External"/><Relationship Id="rId141" Type="http://schemas.openxmlformats.org/officeDocument/2006/relationships/hyperlink" Target="http://news.asu.edu/20250825-science-and-technology-discovery-could-lead-new-treatments-lifethreatening-allergic" TargetMode="External"/><Relationship Id="rId140" Type="http://schemas.openxmlformats.org/officeDocument/2006/relationships/hyperlink" Target="https://news.asu.edu/20250825-science-and-technology-discovery-could-lead-new-treatments-lifethreatening-allergic" TargetMode="External"/><Relationship Id="rId5" Type="http://schemas.openxmlformats.org/officeDocument/2006/relationships/hyperlink" Target="https://news.asu.edu/20240528-health-and-medicine-intermittent-fasting-shows-promise-improving-gut-health-weight" TargetMode="External"/><Relationship Id="rId147" Type="http://schemas.openxmlformats.org/officeDocument/2006/relationships/hyperlink" Target="https://news.asu.edu/20250501-sun-devil-community-mentorship-helped-asu-graduate-find-passion-immunology" TargetMode="External"/><Relationship Id="rId6" Type="http://schemas.openxmlformats.org/officeDocument/2006/relationships/hyperlink" Target="http://news.asu.edu/20240528-health-and-medicine-intermittent-fasting-shows-promise-improving-gut-health-weight" TargetMode="External"/><Relationship Id="rId146" Type="http://schemas.openxmlformats.org/officeDocument/2006/relationships/hyperlink" Target="https://news.asu.edu/20250501-sun-devil-community-mentorship-helped-asu-graduate-find-passion-immunology" TargetMode="External"/><Relationship Id="rId7" Type="http://schemas.openxmlformats.org/officeDocument/2006/relationships/hyperlink" Target="https://news.asu.edu/20240528-health-and-medicine-asu-research-finds-link-between-removal-uterus-brain-function" TargetMode="External"/><Relationship Id="rId145" Type="http://schemas.openxmlformats.org/officeDocument/2006/relationships/hyperlink" Target="https://news.asu.edu/20250612-university-news-lu-baird-gifts-support-science-students-and-society-asu" TargetMode="External"/><Relationship Id="rId8" Type="http://schemas.openxmlformats.org/officeDocument/2006/relationships/hyperlink" Target="http://news.asu.edu/20240528-health-and-medicine-asu-research-finds-link-between-removal-uterus-brain-function" TargetMode="External"/><Relationship Id="rId144" Type="http://schemas.openxmlformats.org/officeDocument/2006/relationships/hyperlink" Target="https://news.asu.edu/20250612-university-news-lu-baird-gifts-support-science-students-and-society-asu" TargetMode="External"/><Relationship Id="rId73" Type="http://schemas.openxmlformats.org/officeDocument/2006/relationships/hyperlink" Target="https://news.asu.edu/20241008-science-and-technology-asuled-initiative-announces-first-decarbonization-projects-us" TargetMode="External"/><Relationship Id="rId72" Type="http://schemas.openxmlformats.org/officeDocument/2006/relationships/hyperlink" Target="https://news.asu.edu/20251103-science-and-technology-secrets-microbial-motion-how-bacteria-swash-glide-and-shift-gears" TargetMode="External"/><Relationship Id="rId75" Type="http://schemas.openxmlformats.org/officeDocument/2006/relationships/hyperlink" Target="https://news.asu.edu/20251104-science-and-technology-signpost-cancer-linked-woundhealing-properties" TargetMode="External"/><Relationship Id="rId74" Type="http://schemas.openxmlformats.org/officeDocument/2006/relationships/hyperlink" Target="http://news.asu.edu/20241008-science-and-technology-asuled-initiative-announces-first-decarbonization-projects-us" TargetMode="External"/><Relationship Id="rId77" Type="http://schemas.openxmlformats.org/officeDocument/2006/relationships/hyperlink" Target="http://news.asu.edu/20240815-health-and-medicine-arizona-public-health-leader-direct-health-observatory-asu" TargetMode="External"/><Relationship Id="rId76" Type="http://schemas.openxmlformats.org/officeDocument/2006/relationships/hyperlink" Target="https://news.asu.edu/20240814-health-and-medicine-arizona-public-health-leader-direct-health-observatory-asu" TargetMode="External"/><Relationship Id="rId79" Type="http://schemas.openxmlformats.org/officeDocument/2006/relationships/hyperlink" Target="http://news.asu.edu/20241031-environment-and-sustainability-asu-carbon-summit-displays-sustainability-leadership" TargetMode="External"/><Relationship Id="rId78" Type="http://schemas.openxmlformats.org/officeDocument/2006/relationships/hyperlink" Target="https://news.asu.edu/20241031-environment-and-sustainability-asu-carbon-summit-displays-sustainability-leadership" TargetMode="External"/><Relationship Id="rId71" Type="http://schemas.openxmlformats.org/officeDocument/2006/relationships/hyperlink" Target="http://news.asu.edu/20240903-environment-and-sustainability-navigating-uncharted-waters-asu-drives-solutions-water" TargetMode="External"/><Relationship Id="rId70" Type="http://schemas.openxmlformats.org/officeDocument/2006/relationships/hyperlink" Target="https://news.asu.edu/20240903-environment-and-sustainability-navigating-uncharted-waters-asu-drives-solutions-water" TargetMode="External"/><Relationship Id="rId139" Type="http://schemas.openxmlformats.org/officeDocument/2006/relationships/hyperlink" Target="http://news.asu.edu/20240429-sun-devil-community-grads-journey-asu-frontiers-biochemistry-and-beyond" TargetMode="External"/><Relationship Id="rId138" Type="http://schemas.openxmlformats.org/officeDocument/2006/relationships/hyperlink" Target="https://news.asu.edu/20240430-sun-devil-community-grads-journey-asu-frontiers-biochemistry-and-beyond" TargetMode="External"/><Relationship Id="rId137" Type="http://schemas.openxmlformats.org/officeDocument/2006/relationships/hyperlink" Target="http://news.asu.edu/20241202-environment-and-sustainability-pettinger-guide-southwest-sustainability-innovation-engines" TargetMode="External"/><Relationship Id="rId132" Type="http://schemas.openxmlformats.org/officeDocument/2006/relationships/hyperlink" Target="http://news.asu.edu/20250501-sun-devil-community-asu-grad-heads-harvard-after-exploring-connection-between-allergies" TargetMode="External"/><Relationship Id="rId131" Type="http://schemas.openxmlformats.org/officeDocument/2006/relationships/hyperlink" Target="https://news.asu.edu/20250501-sun-devil-community-asu-grad-heads-harvard-after-exploring-connection-between-allergies" TargetMode="External"/><Relationship Id="rId130" Type="http://schemas.openxmlformats.org/officeDocument/2006/relationships/hyperlink" Target="http://news.asu.edu/20240507-university-news-college-global-futures-announces-new-directors" TargetMode="External"/><Relationship Id="rId136" Type="http://schemas.openxmlformats.org/officeDocument/2006/relationships/hyperlink" Target="https://news.asu.edu/20241202-environment-and-sustainability-pettinger-guide-southwest-sustainability-innovation-engines" TargetMode="External"/><Relationship Id="rId135" Type="http://schemas.openxmlformats.org/officeDocument/2006/relationships/hyperlink" Target="https://news.asu.edu/20251010-sun-devil-community-scholarship-opens-doors-bermudians-pursue-their-passions-asu" TargetMode="External"/><Relationship Id="rId134" Type="http://schemas.openxmlformats.org/officeDocument/2006/relationships/hyperlink" Target="http://news.asu.edu/20250320-health-and-medicine-dynamic-data-duo-advances-health-research" TargetMode="External"/><Relationship Id="rId133" Type="http://schemas.openxmlformats.org/officeDocument/2006/relationships/hyperlink" Target="https://news.asu.edu/20250320-health-and-medicine-dynamic-data-duo-advances-health-research" TargetMode="External"/><Relationship Id="rId62" Type="http://schemas.openxmlformats.org/officeDocument/2006/relationships/hyperlink" Target="http://news.asu.edu/20240521-environment-and-sustainability-forest-thinning-may-provide-water-benefits-downstream" TargetMode="External"/><Relationship Id="rId61" Type="http://schemas.openxmlformats.org/officeDocument/2006/relationships/hyperlink" Target="https://news.asu.edu/20240521-environment-and-sustainability-forest-thinning-may-provide-water-benefits-downstream" TargetMode="External"/><Relationship Id="rId64" Type="http://schemas.openxmlformats.org/officeDocument/2006/relationships/hyperlink" Target="http://news.asu.edu/20250528-science-and-technology-asu-researchers-blend-biology-fantasy-worldbuilding-guidebook" TargetMode="External"/><Relationship Id="rId63" Type="http://schemas.openxmlformats.org/officeDocument/2006/relationships/hyperlink" Target="https://news.asu.edu/20250528-science-and-technology-asu-researchers-blend-biology-fantasy-wordbuilding-guidebook" TargetMode="External"/><Relationship Id="rId66" Type="http://schemas.openxmlformats.org/officeDocument/2006/relationships/hyperlink" Target="http://news.asu.edu/20240427-sun-devil-community-math-and-stats-grad-beats-odds-overcoming-serious-health-issues" TargetMode="External"/><Relationship Id="rId172" Type="http://schemas.openxmlformats.org/officeDocument/2006/relationships/hyperlink" Target="https://news.asu.edu/b/20250825-edson-seed-grants-awarded-explore-clues-behind-neurodegenerative-diseases" TargetMode="External"/><Relationship Id="rId65" Type="http://schemas.openxmlformats.org/officeDocument/2006/relationships/hyperlink" Target="https://news.asu.edu/20240427-sun-devil-community-math-and-stats-grad-beats-odds-overcoming-serious-health-issues" TargetMode="External"/><Relationship Id="rId171" Type="http://schemas.openxmlformats.org/officeDocument/2006/relationships/hyperlink" Target="http://news.asu.edu/b/20241001-better-together-asu-biodesign-thrives-collaboration" TargetMode="External"/><Relationship Id="rId68" Type="http://schemas.openxmlformats.org/officeDocument/2006/relationships/hyperlink" Target="http://news.asu.edu/20250610-environment-and-sustainability-asu-helps-rural-communities-tackle-local-water-problems" TargetMode="External"/><Relationship Id="rId170" Type="http://schemas.openxmlformats.org/officeDocument/2006/relationships/hyperlink" Target="https://news.asu.edu/b/20241001-better-together-asu-biodesign-thrives-collaboration" TargetMode="External"/><Relationship Id="rId67" Type="http://schemas.openxmlformats.org/officeDocument/2006/relationships/hyperlink" Target="https://news.asu.edu/20250610-environment-and-sustainability-asu-helps-rural-communities-tackle-local-water-problems" TargetMode="External"/><Relationship Id="rId60" Type="http://schemas.openxmlformats.org/officeDocument/2006/relationships/hyperlink" Target="https://news.asu.edu/20241030-environment-and-sustainability-charles-redman-founder-school-sustainability-faces-new" TargetMode="External"/><Relationship Id="rId165" Type="http://schemas.openxmlformats.org/officeDocument/2006/relationships/hyperlink" Target="http://news.asu.edu/20240628-environment-and-sustainability-asu-ocean-scientists-push-solutions-beyond-national-ocean" TargetMode="External"/><Relationship Id="rId69" Type="http://schemas.openxmlformats.org/officeDocument/2006/relationships/hyperlink" Target="https://news.asu.edu/20251024-science-and-technology-untangling-alzheimers-asu-researchers-tackling-our-understanding" TargetMode="External"/><Relationship Id="rId164" Type="http://schemas.openxmlformats.org/officeDocument/2006/relationships/hyperlink" Target="https://news.asu.edu/20240628-environment-and-sustainability-asu-ocean-scientists-push-solutions-beyond-national-ocean" TargetMode="External"/><Relationship Id="rId163" Type="http://schemas.openxmlformats.org/officeDocument/2006/relationships/hyperlink" Target="http://news.asu.edu/20250421-environment-and-sustainability-majority-american-religious-leaders-silently-believe-climate-change" TargetMode="External"/><Relationship Id="rId162" Type="http://schemas.openxmlformats.org/officeDocument/2006/relationships/hyperlink" Target="https://news.asu.edu/20250421-environment-and-sustainability-majority-american-religious-leaders-silently-believe-climate-change" TargetMode="External"/><Relationship Id="rId169" Type="http://schemas.openxmlformats.org/officeDocument/2006/relationships/hyperlink" Target="http://news.asu.edu/20240603-environment-and-sustainability-clearing-air-how-we-can-fix-co2-problem-and-make-our-lives" TargetMode="External"/><Relationship Id="rId168" Type="http://schemas.openxmlformats.org/officeDocument/2006/relationships/hyperlink" Target="https://news.asu.edu/20240402-environment-and-sustainability-clearing-air-how-we-can-fix-co2-problem-and-make-our-lives" TargetMode="External"/><Relationship Id="rId167" Type="http://schemas.openxmlformats.org/officeDocument/2006/relationships/hyperlink" Target="http://news.asu.edu/b/20241220-rise-humanmachine-teams-qa-jamie-gorman" TargetMode="External"/><Relationship Id="rId166" Type="http://schemas.openxmlformats.org/officeDocument/2006/relationships/hyperlink" Target="https://news.asu.edu/b/20241220-rise-humanmachine-teams-qa-jamie-gorman-0" TargetMode="External"/><Relationship Id="rId51" Type="http://schemas.openxmlformats.org/officeDocument/2006/relationships/hyperlink" Target="https://news.asu.edu/20250626-health-and-medicine-improving-alzheimers-prevention-and-care" TargetMode="External"/><Relationship Id="rId50" Type="http://schemas.openxmlformats.org/officeDocument/2006/relationships/hyperlink" Target="http://news.asu.edu/20240830-environment-and-sustainability-urban-forestry-accelerator-aims-boost-green-infrastructure" TargetMode="External"/><Relationship Id="rId53" Type="http://schemas.openxmlformats.org/officeDocument/2006/relationships/hyperlink" Target="https://news.asu.edu/20241004-environment-and-sustainability-8-ways-protect-wildlife" TargetMode="External"/><Relationship Id="rId52" Type="http://schemas.openxmlformats.org/officeDocument/2006/relationships/hyperlink" Target="https://news.asu.edu/20250626-health-and-medicine-improving-alzheimers-prevention-and-care" TargetMode="External"/><Relationship Id="rId55" Type="http://schemas.openxmlformats.org/officeDocument/2006/relationships/hyperlink" Target="https://news.asu.edu/20250319-science-and-technology-new-cancer-treatment-disrupts-tumor-growth" TargetMode="External"/><Relationship Id="rId161" Type="http://schemas.openxmlformats.org/officeDocument/2006/relationships/hyperlink" Target="http://news.asu.edu/20240708-sun-devil-community-school-ocean-futures-student-conduct-marine-research-nsf-fellow" TargetMode="External"/><Relationship Id="rId54" Type="http://schemas.openxmlformats.org/officeDocument/2006/relationships/hyperlink" Target="http://news.asu.edu/20241004-environment-and-sustainability-8-ways-protect-wildlife" TargetMode="External"/><Relationship Id="rId160" Type="http://schemas.openxmlformats.org/officeDocument/2006/relationships/hyperlink" Target="https://news.asu.edu/20240701-sun-devil-community-school-ocean-futures-student-conduct-marine-research-nsf-fellow" TargetMode="External"/><Relationship Id="rId57" Type="http://schemas.openxmlformats.org/officeDocument/2006/relationships/hyperlink" Target="https://news.asu.edu/20250606-environment-and-sustainability-watercleaning-bacteria-can-produce-health-economic-benefits" TargetMode="External"/><Relationship Id="rId56" Type="http://schemas.openxmlformats.org/officeDocument/2006/relationships/hyperlink" Target="http://news.asu.edu/20250319-science-and-technology-new-cancer-treatment-disrupts-tumor-growth" TargetMode="External"/><Relationship Id="rId159" Type="http://schemas.openxmlformats.org/officeDocument/2006/relationships/hyperlink" Target="http://news.asu.edu/20250501-sun-devil-community-asu-mba-graduates-journey-cancer-research-business-leadership" TargetMode="External"/><Relationship Id="rId59" Type="http://schemas.openxmlformats.org/officeDocument/2006/relationships/hyperlink" Target="https://news.asu.edu/20241030-environment-and-sustainability-charles-redman-founder-school-sustainability-faces-new" TargetMode="External"/><Relationship Id="rId154" Type="http://schemas.openxmlformats.org/officeDocument/2006/relationships/hyperlink" Target="https://news.asu.edu/20240522-science-and-technology-asu-now-certificated-build-sensitive-aerospace-defense-instruments" TargetMode="External"/><Relationship Id="rId58" Type="http://schemas.openxmlformats.org/officeDocument/2006/relationships/hyperlink" Target="https://news.asu.edu/20250606-environment-and-sustainability-watercleaning-bacteria-can-produce-health-economic-benefits" TargetMode="External"/><Relationship Id="rId153" Type="http://schemas.openxmlformats.org/officeDocument/2006/relationships/hyperlink" Target="http://news.asu.edu/20240919-environment-and-sustainability-sustaining-connections-asu-alumnae-bring-youth-climate" TargetMode="External"/><Relationship Id="rId152" Type="http://schemas.openxmlformats.org/officeDocument/2006/relationships/hyperlink" Target="https://news.asu.edu/20240919-environment-and-sustainability-sustaining-connections-asu-alumnae-bring-youth-climate" TargetMode="External"/><Relationship Id="rId151" Type="http://schemas.openxmlformats.org/officeDocument/2006/relationships/hyperlink" Target="http://news.asu.edu/20240508-environment-and-sustainability-asu-researchers-working-better-understand-individual" TargetMode="External"/><Relationship Id="rId158" Type="http://schemas.openxmlformats.org/officeDocument/2006/relationships/hyperlink" Target="https://news.asu.edu/20250501-sun-devil-community-asu-mba-graduates-journey-cancer-research-business-leadership" TargetMode="External"/><Relationship Id="rId157" Type="http://schemas.openxmlformats.org/officeDocument/2006/relationships/hyperlink" Target="http://news.asu.edu/b/20250106-securing-borders-and-supply-chains-and-improving-efficiency-qa-ross-maciejewski" TargetMode="External"/><Relationship Id="rId156" Type="http://schemas.openxmlformats.org/officeDocument/2006/relationships/hyperlink" Target="https://news.asu.edu/b/20250106-securing-borders-and-supply-chains-and-improving-efficiency-qa-ross-maciejewski" TargetMode="External"/><Relationship Id="rId155" Type="http://schemas.openxmlformats.org/officeDocument/2006/relationships/hyperlink" Target="http://news.asu.edu/20240522-science-and-technology-asu-now-certificated-build-sensitive-aerospace-defense-instruments" TargetMode="External"/><Relationship Id="rId107" Type="http://schemas.openxmlformats.org/officeDocument/2006/relationships/hyperlink" Target="http://news.asu.edu/20250217-science-and-technology-newly-identified-viruses-found-dolphins" TargetMode="External"/><Relationship Id="rId106" Type="http://schemas.openxmlformats.org/officeDocument/2006/relationships/hyperlink" Target="https://news.asu.edu/20250217-science-and-technology-newly-identified-viruses-found-dolphins" TargetMode="External"/><Relationship Id="rId105" Type="http://schemas.openxmlformats.org/officeDocument/2006/relationships/hyperlink" Target="https://news.asu.edu/20250924-science-and-technology-phoenix-heat-tokyo-humidity-asu-facility-supports-elite-marathoner" TargetMode="External"/><Relationship Id="rId104" Type="http://schemas.openxmlformats.org/officeDocument/2006/relationships/hyperlink" Target="https://news.asu.edu/20250826-environment-and-sustainability-sewage-contamination-locations-threatening-west-hawaii" TargetMode="External"/><Relationship Id="rId109" Type="http://schemas.openxmlformats.org/officeDocument/2006/relationships/hyperlink" Target="http://news.asu.edu/20250221-science-and-technology-ancient-sea-creatures-offer-fresh-insights-cancer" TargetMode="External"/><Relationship Id="rId108" Type="http://schemas.openxmlformats.org/officeDocument/2006/relationships/hyperlink" Target="https://news.asu.edu/20250221-science-and-technology-ancient-sea-creatures-offer-fresh-insights-cancer" TargetMode="External"/><Relationship Id="rId220" Type="http://schemas.openxmlformats.org/officeDocument/2006/relationships/table" Target="../tables/table2.xml"/><Relationship Id="rId103" Type="http://schemas.openxmlformats.org/officeDocument/2006/relationships/hyperlink" Target="https://news.asu.edu/20250826-environment-and-sustainability-sewage-contamination-locations-threatening-west-hawaii" TargetMode="External"/><Relationship Id="rId102" Type="http://schemas.openxmlformats.org/officeDocument/2006/relationships/hyperlink" Target="https://news.asu.edu/20250821-environment-and-sustainability-plantbased-milk-good-you" TargetMode="External"/><Relationship Id="rId101" Type="http://schemas.openxmlformats.org/officeDocument/2006/relationships/hyperlink" Target="https://news.asu.edu/20250821-environment-and-sustainability-plantbased-milk-good-you" TargetMode="External"/><Relationship Id="rId100" Type="http://schemas.openxmlformats.org/officeDocument/2006/relationships/hyperlink" Target="https://news.asu.edu/20241028-arts-humanities-and-education-2-killer-halloween-projects-asus-monster-expert" TargetMode="External"/><Relationship Id="rId216" Type="http://schemas.openxmlformats.org/officeDocument/2006/relationships/vmlDrawing" Target="../drawings/vmlDrawing1.vml"/><Relationship Id="rId215" Type="http://schemas.openxmlformats.org/officeDocument/2006/relationships/drawing" Target="../drawings/drawing1.xml"/><Relationship Id="rId214" Type="http://schemas.openxmlformats.org/officeDocument/2006/relationships/hyperlink" Target="https://news.asu.edu/b/20251114-ecology-pioneer-speak-asu-biodesign-institute-part-lecture-series" TargetMode="External"/><Relationship Id="rId219" Type="http://schemas.openxmlformats.org/officeDocument/2006/relationships/table" Target="../tables/table1.xml"/><Relationship Id="rId213" Type="http://schemas.openxmlformats.org/officeDocument/2006/relationships/hyperlink" Target="https://news.asu.edu/20251114-environment-and-sustainability-youth-climate-summit-gives-high-school-students-tools" TargetMode="External"/><Relationship Id="rId212" Type="http://schemas.openxmlformats.org/officeDocument/2006/relationships/hyperlink" Target="https://news.asu.edu/20251119-health-and-medicine-new-study-shows-how-microbial-transmission-can-affect-adaptive" TargetMode="External"/><Relationship Id="rId211" Type="http://schemas.openxmlformats.org/officeDocument/2006/relationships/hyperlink" Target="https://news.asu.edu/20251121-arts-humanities-and-education-elementary-school-teachers-boast-classroom-benefits-after" TargetMode="External"/><Relationship Id="rId210" Type="http://schemas.openxmlformats.org/officeDocument/2006/relationships/hyperlink" Target="https://news.asu.edu/20251125-health-and-medicine-what-know-about-arizonas-measles-outbreak" TargetMode="External"/><Relationship Id="rId129" Type="http://schemas.openxmlformats.org/officeDocument/2006/relationships/hyperlink" Target="https://news.asu.edu/20240507-university-news-college-global-futures-announces-new-directors" TargetMode="External"/><Relationship Id="rId128" Type="http://schemas.openxmlformats.org/officeDocument/2006/relationships/hyperlink" Target="http://news.asu.edu/b/20240930-lara-ferry-promoted-vice-president-research-asus-knowledge-enterprise" TargetMode="External"/><Relationship Id="rId127" Type="http://schemas.openxmlformats.org/officeDocument/2006/relationships/hyperlink" Target="https://news.asu.edu/b/20240930-lara-ferry-promoted-vice-president-research-asus-knowledge-enterprise" TargetMode="External"/><Relationship Id="rId126" Type="http://schemas.openxmlformats.org/officeDocument/2006/relationships/hyperlink" Target="https://news.asu.edu/20250801-science-and-technology-tiny-copper-clusters-could-lead-faster-energysaving-electronics" TargetMode="External"/><Relationship Id="rId121" Type="http://schemas.openxmlformats.org/officeDocument/2006/relationships/hyperlink" Target="http://news.asu.edu/20240808-environment-and-sustainability-sustainability-consortium-receives-2024-presidents-award" TargetMode="External"/><Relationship Id="rId120" Type="http://schemas.openxmlformats.org/officeDocument/2006/relationships/hyperlink" Target="https://news.asu.edu/20240808-environment-and-sustainability-sustainability-consortium-receives-2024-presidents-award" TargetMode="External"/><Relationship Id="rId125" Type="http://schemas.openxmlformats.org/officeDocument/2006/relationships/hyperlink" Target="https://news.asu.edu/20250801-science-and-technology-tiny-copper-clusters-could-lead-faster-energysaving-electronics" TargetMode="External"/><Relationship Id="rId124" Type="http://schemas.openxmlformats.org/officeDocument/2006/relationships/hyperlink" Target="https://news.asu.edu/20250924-science-and-technology-building-ai-enhances-human-and-planetary-wellbeing" TargetMode="External"/><Relationship Id="rId123" Type="http://schemas.openxmlformats.org/officeDocument/2006/relationships/hyperlink" Target="http://news.asu.edu/20240419-health-and-medicine-first-exchange-student-biodesign-institute-europe-bridges-labs-5000" TargetMode="External"/><Relationship Id="rId122" Type="http://schemas.openxmlformats.org/officeDocument/2006/relationships/hyperlink" Target="https://news.asu.edu/20240419-health-and-medicine-first-exchange-student-biodesign-institute-europe-bridges-labs-5000" TargetMode="External"/><Relationship Id="rId95" Type="http://schemas.openxmlformats.org/officeDocument/2006/relationships/hyperlink" Target="https://news.asu.edu/20250623-science-and-technology-new-asu-research-hunts-down-drugresistant-microbes" TargetMode="External"/><Relationship Id="rId94" Type="http://schemas.openxmlformats.org/officeDocument/2006/relationships/hyperlink" Target="http://news.asu.edu/20250602-science-and-technology-your-crash-course-quantum-science" TargetMode="External"/><Relationship Id="rId97" Type="http://schemas.openxmlformats.org/officeDocument/2006/relationships/hyperlink" Target="https://news.asu.edu/20250325-science-and-technology-asu-students-win-big-homeland-security-design-challenge" TargetMode="External"/><Relationship Id="rId96" Type="http://schemas.openxmlformats.org/officeDocument/2006/relationships/hyperlink" Target="https://news.asu.edu/20250623-science-and-technology-new-asu-research-hunts-down-drugresistant-microbes" TargetMode="External"/><Relationship Id="rId99" Type="http://schemas.openxmlformats.org/officeDocument/2006/relationships/hyperlink" Target="https://news.asu.edu/20241028-arts-humanities-and-education-2-killer-halloween-projects-asus-monster-expert" TargetMode="External"/><Relationship Id="rId98" Type="http://schemas.openxmlformats.org/officeDocument/2006/relationships/hyperlink" Target="http://news.asu.edu/20250325-science-and-technology-asu-students-win-big-homeland-security-design-challenge" TargetMode="External"/><Relationship Id="rId91" Type="http://schemas.openxmlformats.org/officeDocument/2006/relationships/hyperlink" Target="https://news.asu.edu/20241031-science-and-technology-def-con-academy-looks-serve-build-community" TargetMode="External"/><Relationship Id="rId90" Type="http://schemas.openxmlformats.org/officeDocument/2006/relationships/hyperlink" Target="http://news.asu.edu/20250418-environment-and-sustainability-k12-corporate-upskilling-asu-guides-learners-all-ages" TargetMode="External"/><Relationship Id="rId93" Type="http://schemas.openxmlformats.org/officeDocument/2006/relationships/hyperlink" Target="https://news.asu.edu/20250602-science-and-technology-your-crash-course-quantum-science" TargetMode="External"/><Relationship Id="rId92" Type="http://schemas.openxmlformats.org/officeDocument/2006/relationships/hyperlink" Target="http://news.asu.edu/20241031-science-and-technology-def-con-academy-looks-serve-build-community" TargetMode="External"/><Relationship Id="rId118" Type="http://schemas.openxmlformats.org/officeDocument/2006/relationships/hyperlink" Target="https://news.asu.edu/20250324-science-and-technology-swarm-science-oral-bacteria-move-waves-spread-and-survive" TargetMode="External"/><Relationship Id="rId117" Type="http://schemas.openxmlformats.org/officeDocument/2006/relationships/hyperlink" Target="http://news.asu.edu/20250509-health-and-medicine-can-frisky-flies-save-human-lives" TargetMode="External"/><Relationship Id="rId116" Type="http://schemas.openxmlformats.org/officeDocument/2006/relationships/hyperlink" Target="https://news.asu.edu/20250509-health-and-medicine-can-frisky-flies-save-human-lives" TargetMode="External"/><Relationship Id="rId115" Type="http://schemas.openxmlformats.org/officeDocument/2006/relationships/hyperlink" Target="http://news.asu.edu/20241024-science-and-technology-meet-3-asu-cybersecurity-researchers-advancing-more-secure-future" TargetMode="External"/><Relationship Id="rId119" Type="http://schemas.openxmlformats.org/officeDocument/2006/relationships/hyperlink" Target="https://news.asu.edu/20250324-science-and-technology-swarm-science-oral-bacteria-move-waves-spread-and-survive" TargetMode="External"/><Relationship Id="rId110" Type="http://schemas.openxmlformats.org/officeDocument/2006/relationships/hyperlink" Target="https://news.asu.edu/20250502-sun-devil-community-sea-turtles-science-policy-how-asu-grad-found-his-path-phd" TargetMode="External"/><Relationship Id="rId114" Type="http://schemas.openxmlformats.org/officeDocument/2006/relationships/hyperlink" Target="https://news.asu.edu/20241024-science-and-technology-meet-3-asu-cybersecurity-researchers-advancing-more-secure-future" TargetMode="External"/><Relationship Id="rId113" Type="http://schemas.openxmlformats.org/officeDocument/2006/relationships/hyperlink" Target="http://news.asu.edu/20240814-environment-and-sustainability-ustda-director-joins-policymakers-business-leaders" TargetMode="External"/><Relationship Id="rId112" Type="http://schemas.openxmlformats.org/officeDocument/2006/relationships/hyperlink" Target="https://news.asu.edu/20240814-environment-and-sustainability-ustda-director-joins-policymakers-business-leaders" TargetMode="External"/><Relationship Id="rId111" Type="http://schemas.openxmlformats.org/officeDocument/2006/relationships/hyperlink" Target="http://news.asu.edu/20250502-sun-devil-community-sea-turtles-science-policy-how-asu-grad-found-his-path-phd" TargetMode="External"/><Relationship Id="rId206" Type="http://schemas.openxmlformats.org/officeDocument/2006/relationships/hyperlink" Target="https://biodesign.asu.edu/news-and-events/news/story/harnessing-the-power-of-microbes-for-human-health/" TargetMode="External"/><Relationship Id="rId205" Type="http://schemas.openxmlformats.org/officeDocument/2006/relationships/hyperlink" Target="http://news.asu.edu/20240305-environment-and-sustainability-nsf-announces-new-partners-asuled-climate-economy" TargetMode="External"/><Relationship Id="rId204" Type="http://schemas.openxmlformats.org/officeDocument/2006/relationships/hyperlink" Target="https://news.asu.edu/20240305-environment-and-sustainability-nsf-announces-new-partners-asuled-climate-economy" TargetMode="External"/><Relationship Id="rId203" Type="http://schemas.openxmlformats.org/officeDocument/2006/relationships/hyperlink" Target="https://news.asu.edu/b/20251003-asu-grad-takes-sustainable-food-passion-slovakia-fulbright-award" TargetMode="External"/><Relationship Id="rId209" Type="http://schemas.openxmlformats.org/officeDocument/2006/relationships/hyperlink" Target="http://biodesign.asu.edu/news-and-events/news/story/biodesign-alumni-aid-the-fight-against-infectious-diseases/" TargetMode="External"/><Relationship Id="rId208" Type="http://schemas.openxmlformats.org/officeDocument/2006/relationships/hyperlink" Target="https://biodesign.asu.edu/news-and-events/news/story/biodesign-alumni-aid-the-fight-against-infectious-diseases/" TargetMode="External"/><Relationship Id="rId207" Type="http://schemas.openxmlformats.org/officeDocument/2006/relationships/hyperlink" Target="http://biodesign.asu.edu/news-and-events/news/story/harnessing-the-power-of-microbes-for-human-health/" TargetMode="External"/><Relationship Id="rId202" Type="http://schemas.openxmlformats.org/officeDocument/2006/relationships/hyperlink" Target="http://news.asu.edu/20240709-environment-and-sustainability-asu-celebrates-world-ocean-day-honoring-bios-120-years" TargetMode="External"/><Relationship Id="rId201" Type="http://schemas.openxmlformats.org/officeDocument/2006/relationships/hyperlink" Target="https://news.asu.edu/20240607-environment-and-sustainability-asu-celebrates-world-ocean-day-honoring-bios-120-years" TargetMode="External"/><Relationship Id="rId200" Type="http://schemas.openxmlformats.org/officeDocument/2006/relationships/hyperlink" Target="http://news.asu.edu/20240329-environment-and-sustainability-new-study-finds-previously-unreported-and-persistent"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news.asu.edu/20241028-arts-humanities-and-education-2-killer-halloween-projects-asus-monster-expert" TargetMode="External"/><Relationship Id="rId42" Type="http://schemas.openxmlformats.org/officeDocument/2006/relationships/hyperlink" Target="http://news.asu.edu/20241024-science-and-technology-meet-3-asu-cybersecurity-researchers-advancing-more-secure-future" TargetMode="External"/><Relationship Id="rId41" Type="http://schemas.openxmlformats.org/officeDocument/2006/relationships/hyperlink" Target="http://news.asu.edu/20241028-environment-and-sustainability-10-climate-insights-guide-our-future" TargetMode="External"/><Relationship Id="rId44" Type="http://schemas.openxmlformats.org/officeDocument/2006/relationships/hyperlink" Target="http://news.asu.edu/b/20241014-stephanie-forrests-unique-integration-computation-biology-and-health" TargetMode="External"/><Relationship Id="rId43" Type="http://schemas.openxmlformats.org/officeDocument/2006/relationships/hyperlink" Target="http://news.asu.edu/b/20241021-exploring-molecules-motion" TargetMode="External"/><Relationship Id="rId46" Type="http://schemas.openxmlformats.org/officeDocument/2006/relationships/hyperlink" Target="http://news.asu.edu/20241004-environment-and-sustainability-8-ways-protect-wildlife" TargetMode="External"/><Relationship Id="rId45" Type="http://schemas.openxmlformats.org/officeDocument/2006/relationships/hyperlink" Target="http://news.asu.edu/20241008-science-and-technology-asuled-initiative-announces-first-decarbonization-projects-us" TargetMode="External"/><Relationship Id="rId48" Type="http://schemas.openxmlformats.org/officeDocument/2006/relationships/hyperlink" Target="http://news.asu.edu/b/20241001-better-together-asu-biodesign-thrives-collaboration" TargetMode="External"/><Relationship Id="rId47" Type="http://schemas.openxmlformats.org/officeDocument/2006/relationships/hyperlink" Target="https://news.asu.edu/b/20241003-biodesign-center-single-molecule-biophysics-little-things-add" TargetMode="External"/><Relationship Id="rId49" Type="http://schemas.openxmlformats.org/officeDocument/2006/relationships/hyperlink" Target="http://news.asu.edu/b/20240930-lara-ferry-promoted-vice-president-research-asus-knowledge-enterprise" TargetMode="External"/><Relationship Id="rId31" Type="http://schemas.openxmlformats.org/officeDocument/2006/relationships/hyperlink" Target="http://news.asu.edu/20250221-science-and-technology-ancient-sea-creatures-offer-fresh-insights-cancer" TargetMode="External"/><Relationship Id="rId30" Type="http://schemas.openxmlformats.org/officeDocument/2006/relationships/hyperlink" Target="http://news.asu.edu/b/20250225-ramon-velazquez-discusses-brain-health-and-disease" TargetMode="External"/><Relationship Id="rId33" Type="http://schemas.openxmlformats.org/officeDocument/2006/relationships/hyperlink" Target="http://news.asu.edu/20250130-environment-and-sustainability-adventurer-and-space-visionary-embarks-new-journey-asu" TargetMode="External"/><Relationship Id="rId32" Type="http://schemas.openxmlformats.org/officeDocument/2006/relationships/hyperlink" Target="https://news.asu.edu/20250217-science-and-technology-newly-identified-viruses-found-dolphins" TargetMode="External"/><Relationship Id="rId35" Type="http://schemas.openxmlformats.org/officeDocument/2006/relationships/hyperlink" Target="https://news.asu.edu/b/20241220-rise-humanmachine-teams-qa-jamie-gorman" TargetMode="External"/><Relationship Id="rId34" Type="http://schemas.openxmlformats.org/officeDocument/2006/relationships/hyperlink" Target="https://news.asu.edu/b/20250106-securing-borders-and-supply-chains-and-improving-efficiency-qa-ross-maciejewski" TargetMode="External"/><Relationship Id="rId37" Type="http://schemas.openxmlformats.org/officeDocument/2006/relationships/hyperlink" Target="https://news.asu.edu/20241120-environment-and-sustainability-world-full-plastic-not-fantastic" TargetMode="External"/><Relationship Id="rId36" Type="http://schemas.openxmlformats.org/officeDocument/2006/relationships/hyperlink" Target="http://news.asu.edu/20241202-environment-and-sustainability-pettinger-guide-southwest-sustainability-innovation-engines" TargetMode="External"/><Relationship Id="rId39" Type="http://schemas.openxmlformats.org/officeDocument/2006/relationships/hyperlink" Target="https://news.asu.edu/20241031-environment-and-sustainability-asu-carbon-summit-displays-sustainability-leadership" TargetMode="External"/><Relationship Id="rId38" Type="http://schemas.openxmlformats.org/officeDocument/2006/relationships/hyperlink" Target="https://news.asu.edu/20241031-science-and-technology-def-con-academy-looks-serve-build-community" TargetMode="External"/><Relationship Id="rId20" Type="http://schemas.openxmlformats.org/officeDocument/2006/relationships/hyperlink" Target="http://news.asu.edu/20250414-health-and-medicine-fighting-fungus-among-us" TargetMode="External"/><Relationship Id="rId22" Type="http://schemas.openxmlformats.org/officeDocument/2006/relationships/hyperlink" Target="http://news.asu.edu/20250328-science-and-technology-four-asu-researchers-named-senior-members-national-academy" TargetMode="External"/><Relationship Id="rId21" Type="http://schemas.openxmlformats.org/officeDocument/2006/relationships/hyperlink" Target="https://news.asu.edu/20250402-environment-and-sustainability-asu-amazon-student-bridges-communities-solar-canoe-project" TargetMode="External"/><Relationship Id="rId24" Type="http://schemas.openxmlformats.org/officeDocument/2006/relationships/hyperlink" Target="http://news.asu.edu/20250325-science-and-technology-asu-students-win-big-homeland-security-design-challenge" TargetMode="External"/><Relationship Id="rId23" Type="http://schemas.openxmlformats.org/officeDocument/2006/relationships/hyperlink" Target="http://news.asu.edu/20250325-business-and-entrepreneurship-asu-and-godaddy-launch-studentathlete-venture-studio" TargetMode="External"/><Relationship Id="rId26" Type="http://schemas.openxmlformats.org/officeDocument/2006/relationships/hyperlink" Target="http://news.asu.edu/20250320-health-and-medicine-dynamic-data-duo-advances-health-research" TargetMode="External"/><Relationship Id="rId25" Type="http://schemas.openxmlformats.org/officeDocument/2006/relationships/hyperlink" Target="http://news.asu.edu/20250324-science-and-technology-swarm-science-oral-bacteria-move-waves-spread-and-survive" TargetMode="External"/><Relationship Id="rId28" Type="http://schemas.openxmlformats.org/officeDocument/2006/relationships/hyperlink" Target="https://news.asu.edu/20250312-science-and-technology-asuled-southwest-sustainability-innovation-engine-funds-8-promising-startups" TargetMode="External"/><Relationship Id="rId27" Type="http://schemas.openxmlformats.org/officeDocument/2006/relationships/hyperlink" Target="https://news.asu.edu/20250319-science-and-technology-new-cancer-treatment-disrupts-tumor-growth" TargetMode="External"/><Relationship Id="rId29" Type="http://schemas.openxmlformats.org/officeDocument/2006/relationships/hyperlink" Target="http://news.asu.edu/20250312-science-and-technology-new-study-explores-link-between-diet-blood-sugar-and-cancer-risk" TargetMode="External"/><Relationship Id="rId11" Type="http://schemas.openxmlformats.org/officeDocument/2006/relationships/hyperlink" Target="https://news.asu.edu/20250505-health-and-medicine-asu-invention-helps-people-worldwide-reach-weight-goals" TargetMode="External"/><Relationship Id="rId10" Type="http://schemas.openxmlformats.org/officeDocument/2006/relationships/hyperlink" Target="http://news.asu.edu/20250509-health-and-medicine-can-frisky-flies-save-human-lives" TargetMode="External"/><Relationship Id="rId13" Type="http://schemas.openxmlformats.org/officeDocument/2006/relationships/hyperlink" Target="https://news.asu.edu/20250502-sun-devil-community-sea-turtles-science-policy-how-asu-grad-found-his-path-phd" TargetMode="External"/><Relationship Id="rId12" Type="http://schemas.openxmlformats.org/officeDocument/2006/relationships/hyperlink" Target="https://news.asu.edu/20250501-sun-devil-community-asu-mba-graduates-journey-cancer-research-business-leadership" TargetMode="External"/><Relationship Id="rId15" Type="http://schemas.openxmlformats.org/officeDocument/2006/relationships/hyperlink" Target="https://news.asu.edu/20250430-business-and-entrepreneurship-asu-launches-sportx-new-initiative-unite-sports-entrepreneurship" TargetMode="External"/><Relationship Id="rId14" Type="http://schemas.openxmlformats.org/officeDocument/2006/relationships/hyperlink" Target="https://news.asu.edu/20250501-sun-devil-community-mentorship-helped-asu-graduate-find-passion-immunology" TargetMode="External"/><Relationship Id="rId17" Type="http://schemas.openxmlformats.org/officeDocument/2006/relationships/hyperlink" Target="http://news.asu.edu/20250421-environment-and-sustainability-majority-american-religious-leaders-silently-believe-climate-change" TargetMode="External"/><Relationship Id="rId16" Type="http://schemas.openxmlformats.org/officeDocument/2006/relationships/hyperlink" Target="http://news.asu.edu/20250430-business-and-entrepreneurship-asu-launches-sportx-new-initiative-unite-sports-entrepreneurship" TargetMode="External"/><Relationship Id="rId19" Type="http://schemas.openxmlformats.org/officeDocument/2006/relationships/hyperlink" Target="http://news.asu.edu/20250418-environment-and-sustainability-k12-corporate-upskilling-asu-guides-learners-all-ages" TargetMode="External"/><Relationship Id="rId18" Type="http://schemas.openxmlformats.org/officeDocument/2006/relationships/hyperlink" Target="http://news.asu.edu/20250418-health-and-medicine-bird-flu-your-questions-symptoms-spread-and-safety-answered" TargetMode="External"/><Relationship Id="rId84" Type="http://schemas.openxmlformats.org/officeDocument/2006/relationships/hyperlink" Target="http://news.asu.edu/20240329-environment-and-sustainability-new-study-finds-previously-unreported-and-persistent" TargetMode="External"/><Relationship Id="rId83" Type="http://schemas.openxmlformats.org/officeDocument/2006/relationships/hyperlink" Target="https://news.asu.edu/20240603-environment-and-sustainability-clearing-air-how-we-can-fix-co2-problem-and-make-our-lives" TargetMode="External"/><Relationship Id="rId86" Type="http://schemas.openxmlformats.org/officeDocument/2006/relationships/hyperlink" Target="https://news.asu.edu/20240207-environment-and-sustainability-firstofitskind-plastics-recycling-microfactory-transform" TargetMode="External"/><Relationship Id="rId85" Type="http://schemas.openxmlformats.org/officeDocument/2006/relationships/hyperlink" Target="http://news.asu.edu/20240305-environment-and-sustainability-nsf-announces-new-partners-asuled-climate-economy" TargetMode="External"/><Relationship Id="rId87" Type="http://schemas.openxmlformats.org/officeDocument/2006/relationships/drawing" Target="../drawings/drawing2.xml"/><Relationship Id="rId80" Type="http://schemas.openxmlformats.org/officeDocument/2006/relationships/hyperlink" Target="http://research.asu.edu/news/story/harnessing-the-power-of-microbes-for-human-health/" TargetMode="External"/><Relationship Id="rId82" Type="http://schemas.openxmlformats.org/officeDocument/2006/relationships/hyperlink" Target="http://research.asu.edu/news/story/biodesign-alumni-aid-the-fight-against-infectious-diseases/" TargetMode="External"/><Relationship Id="rId81" Type="http://schemas.openxmlformats.org/officeDocument/2006/relationships/hyperlink" Target="http://biodesign.asu.edu/news-and-events/news/story/biodesign-alumni-aid-the-fight-against-infectious-diseases/" TargetMode="External"/><Relationship Id="rId1" Type="http://schemas.openxmlformats.org/officeDocument/2006/relationships/hyperlink" Target="https://docs.google.com/spreadsheets/d/1noiIQSfT7Pdn22VWdLyflMqLTOMU1xkUpMeeUPi905U/edit?usp=sharing" TargetMode="External"/><Relationship Id="rId2" Type="http://schemas.openxmlformats.org/officeDocument/2006/relationships/hyperlink" Target="http://news.asu.edu/20250623-science-and-technology-new-asu-research-hunts-down-drugresistant-microbes" TargetMode="External"/><Relationship Id="rId3" Type="http://schemas.openxmlformats.org/officeDocument/2006/relationships/hyperlink" Target="http://news.asu.edu/20250626-health-and-medicine-improving-alzheimers-prevention-and-care" TargetMode="External"/><Relationship Id="rId4" Type="http://schemas.openxmlformats.org/officeDocument/2006/relationships/hyperlink" Target="http://news.asu.edu/20250612-university-news-lu-baird-gifts-support-science-students-and-society-asu" TargetMode="External"/><Relationship Id="rId9" Type="http://schemas.openxmlformats.org/officeDocument/2006/relationships/hyperlink" Target="http://news.asu.edu/20250528-science-and-technology-asu-researchers-blend-biology-fantasy-worldbuilding-guidebook" TargetMode="External"/><Relationship Id="rId5" Type="http://schemas.openxmlformats.org/officeDocument/2006/relationships/hyperlink" Target="http://news.asu.edu/20250611-health-and-medicine-your-gut-microbiome-calorie-super-harvester" TargetMode="External"/><Relationship Id="rId6" Type="http://schemas.openxmlformats.org/officeDocument/2006/relationships/hyperlink" Target="http://news.asu.edu/20250610-environment-and-sustainability-asu-helps-rural-communities-tackle-local-water-problems" TargetMode="External"/><Relationship Id="rId7" Type="http://schemas.openxmlformats.org/officeDocument/2006/relationships/hyperlink" Target="http://news.asu.edu/20250606-environment-and-sustainability-watercleaning-bacteria-can-produce-health-economic-benefits" TargetMode="External"/><Relationship Id="rId8" Type="http://schemas.openxmlformats.org/officeDocument/2006/relationships/hyperlink" Target="http://news.asu.edu/20250602-science-and-technology-your-crash-course-quantum-science" TargetMode="External"/><Relationship Id="rId73" Type="http://schemas.openxmlformats.org/officeDocument/2006/relationships/hyperlink" Target="http://news.asu.edu/20240508-environment-and-sustainability-asu-researchers-working-better-understand-individual" TargetMode="External"/><Relationship Id="rId72" Type="http://schemas.openxmlformats.org/officeDocument/2006/relationships/hyperlink" Target="https://news.asu.edu/20240509-environment-and-sustainability-reef-restoration-program-celebrates-official-opening" TargetMode="External"/><Relationship Id="rId75" Type="http://schemas.openxmlformats.org/officeDocument/2006/relationships/hyperlink" Target="https://news.asu.edu/20240430-sun-devil-community-grads-journey-asu-frontiers-biochemistry-and-beyond" TargetMode="External"/><Relationship Id="rId74" Type="http://schemas.openxmlformats.org/officeDocument/2006/relationships/hyperlink" Target="https://news.asu.edu/20240507-university-news-college-global-futures-announces-new-directors" TargetMode="External"/><Relationship Id="rId77" Type="http://schemas.openxmlformats.org/officeDocument/2006/relationships/hyperlink" Target="https://news.asu.edu/20240427-sun-devil-community-math-and-stats-grad-beats-odds-overcoming-serious-health-issues" TargetMode="External"/><Relationship Id="rId76" Type="http://schemas.openxmlformats.org/officeDocument/2006/relationships/hyperlink" Target="https://news.asu.edu/20240428-sun-devil-community-phd-grad-honed-interdisciplinary-skills-asu" TargetMode="External"/><Relationship Id="rId79" Type="http://schemas.openxmlformats.org/officeDocument/2006/relationships/hyperlink" Target="https://biodesign.asu.edu/news-and-events/news/story/harnessing-the-power-of-microbes-for-human-health/" TargetMode="External"/><Relationship Id="rId78" Type="http://schemas.openxmlformats.org/officeDocument/2006/relationships/hyperlink" Target="http://news.asu.edu/20240419-health-and-medicine-first-exchange-student-biodesign-institute-europe-bridges-labs-5000" TargetMode="External"/><Relationship Id="rId71" Type="http://schemas.openxmlformats.org/officeDocument/2006/relationships/hyperlink" Target="http://news.asu.edu/20240520-environment-and-sustainability-new-research-shows-transdisciplinary-approach-needed" TargetMode="External"/><Relationship Id="rId70" Type="http://schemas.openxmlformats.org/officeDocument/2006/relationships/hyperlink" Target="https://news.asu.edu/20240522-science-and-technology-asu-now-certificated-build-sensitive-aerospace-defense-instruments" TargetMode="External"/><Relationship Id="rId62" Type="http://schemas.openxmlformats.org/officeDocument/2006/relationships/hyperlink" Target="https://news.asu.edu/20240708-sun-devil-community-school-ocean-futures-student-conduct-marine-research-nsf-fellow" TargetMode="External"/><Relationship Id="rId61" Type="http://schemas.openxmlformats.org/officeDocument/2006/relationships/hyperlink" Target="https://news.asu.edu/20240702-swsie-appoints-new-ceo" TargetMode="External"/><Relationship Id="rId64" Type="http://schemas.openxmlformats.org/officeDocument/2006/relationships/hyperlink" Target="https://news.asu.edu/20240611-university-news-asu-retains-no-1-us-top-10-globally-impact-ranking-un-sustainable-goals" TargetMode="External"/><Relationship Id="rId63" Type="http://schemas.openxmlformats.org/officeDocument/2006/relationships/hyperlink" Target="http://news.asu.edu/20240624-environment-and-sustainability-global-futures-laboratory-asu-joins-doe-initiative-empower" TargetMode="External"/><Relationship Id="rId66" Type="http://schemas.openxmlformats.org/officeDocument/2006/relationships/hyperlink" Target="https://news.asu.edu/20240701-environment-and-sustainability-hidden-cost-american-food-system" TargetMode="External"/><Relationship Id="rId65" Type="http://schemas.openxmlformats.org/officeDocument/2006/relationships/hyperlink" Target="http://news.asu.edu/20240709-environment-and-sustainability-asu-celebrates-world-ocean-day-honoring-bios-120-years" TargetMode="External"/><Relationship Id="rId68" Type="http://schemas.openxmlformats.org/officeDocument/2006/relationships/hyperlink" Target="http://news.asu.edu/20240528-health-and-medicine-asu-research-finds-link-between-removal-uterus-brain-function" TargetMode="External"/><Relationship Id="rId67" Type="http://schemas.openxmlformats.org/officeDocument/2006/relationships/hyperlink" Target="http://news.asu.edu/20240528-health-and-medicine-intermittent-fasting-shows-promise-improving-gut-health-weight" TargetMode="External"/><Relationship Id="rId60" Type="http://schemas.openxmlformats.org/officeDocument/2006/relationships/hyperlink" Target="http://news.asu.edu/20240729-environment-and-sustainability-saving-lives-invisible-killer" TargetMode="External"/><Relationship Id="rId69" Type="http://schemas.openxmlformats.org/officeDocument/2006/relationships/hyperlink" Target="http://news.asu.edu/20240521-environment-and-sustainability-forest-thinning-may-provide-water-benefits-downstream" TargetMode="External"/><Relationship Id="rId51" Type="http://schemas.openxmlformats.org/officeDocument/2006/relationships/hyperlink" Target="http://news.asu.edu/20240903-environment-and-sustainability-navigating-uncharted-waters-asu-drives-solutions-water" TargetMode="External"/><Relationship Id="rId50" Type="http://schemas.openxmlformats.org/officeDocument/2006/relationships/hyperlink" Target="http://news.asu.edu/20240919-environment-and-sustainability-sustaining-connections-asu-alumnae-bring-youth-climate" TargetMode="External"/><Relationship Id="rId53" Type="http://schemas.openxmlformats.org/officeDocument/2006/relationships/hyperlink" Target="https://news.asu.edu/20240815-health-and-medicine-arizona-public-health-leader-direct-health-observatory-asu" TargetMode="External"/><Relationship Id="rId52" Type="http://schemas.openxmlformats.org/officeDocument/2006/relationships/hyperlink" Target="http://news.asu.edu/b/20240830-simulating-climate-interventions-experts-work-toward-climate-resilient-future-recent" TargetMode="External"/><Relationship Id="rId55" Type="http://schemas.openxmlformats.org/officeDocument/2006/relationships/hyperlink" Target="https://news.asu.edu/20240814-environment-and-sustainability-ustda-director-joins-policymakers-business-leaders" TargetMode="External"/><Relationship Id="rId54" Type="http://schemas.openxmlformats.org/officeDocument/2006/relationships/hyperlink" Target="https://news.asu.edu/20240814-environment-and-sustainability-asu-lab-brings-energy" TargetMode="External"/><Relationship Id="rId57" Type="http://schemas.openxmlformats.org/officeDocument/2006/relationships/hyperlink" Target="https://news.asu.edu/20240808-environment-and-sustainability-sustainability-consortium-receives-2024-presidents-award" TargetMode="External"/><Relationship Id="rId56" Type="http://schemas.openxmlformats.org/officeDocument/2006/relationships/hyperlink" Target="http://news.asu.edu/20240805-science-and-technology-teaching-ai-about-social-intelligence-through-minecraft" TargetMode="External"/><Relationship Id="rId59" Type="http://schemas.openxmlformats.org/officeDocument/2006/relationships/hyperlink" Target="https://news.asu.edu/20240830-environment-and-sustainability-urban-forestry-accelerator-aims-boost-green-infrastructure" TargetMode="External"/><Relationship Id="rId58" Type="http://schemas.openxmlformats.org/officeDocument/2006/relationships/hyperlink" Target="http://news.asu.edu/20240628-environment-and-sustainability-asu-ocean-scientists-push-solutions-beyond-national-ocea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news.asu.edu/20240528-health-and-medicine-intermittent-fasting-shows-promise-improving-gut-health-weight" TargetMode="External"/><Relationship Id="rId2" Type="http://schemas.openxmlformats.org/officeDocument/2006/relationships/hyperlink" Target="http://news.asu.edu/20240528-health-and-medicine-asu-research-finds-link-between-removal-uterus-brain-function" TargetMode="External"/><Relationship Id="rId3" Type="http://schemas.openxmlformats.org/officeDocument/2006/relationships/hyperlink" Target="http://news.asu.edu/20241028-environment-and-sustainability-10-climate-insights-guide-our-future" TargetMode="External"/><Relationship Id="rId4" Type="http://schemas.openxmlformats.org/officeDocument/2006/relationships/hyperlink" Target="http://news.asu.edu/20241028-arts-humanities-and-education-2-killer-halloween-projects-asus-monster-expert" TargetMode="External"/><Relationship Id="rId5" Type="http://schemas.openxmlformats.org/officeDocument/2006/relationships/hyperlink" Target="https://news.asu.edu/20240814-environment-and-sustainability-ustda-director-joins-policymakers-business-leaders" TargetMode="External"/><Relationship Id="rId6" Type="http://schemas.openxmlformats.org/officeDocument/2006/relationships/hyperlink" Target="http://news.asu.edu/20240814-environment-and-sustainability-asu-lab-brings-energy" TargetMode="External"/><Relationship Id="rId7"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hidden="1" min="1" max="1" width="49.38"/>
    <col customWidth="1" min="2" max="2" width="11.0"/>
    <col customWidth="1" min="3" max="3" width="58.0"/>
    <col customWidth="1" min="4" max="4" width="14.0"/>
    <col customWidth="1" min="5" max="7" width="11.13"/>
    <col customWidth="1" min="8" max="8" width="8.13"/>
    <col customWidth="1" min="9" max="9" width="8.63"/>
    <col customWidth="1" min="10" max="10" width="9.5"/>
    <col customWidth="1" min="11" max="11" width="15.88"/>
    <col customWidth="1" min="12" max="12" width="12.0"/>
    <col customWidth="1" min="13" max="13" width="8.13"/>
    <col customWidth="1" min="14" max="14" width="8.5"/>
    <col customWidth="1" min="15" max="15" width="9.38"/>
    <col customWidth="1" min="16" max="16" width="16.38"/>
    <col customWidth="1" min="17" max="17" width="11.75"/>
  </cols>
  <sheetData>
    <row r="1">
      <c r="A1" s="1" t="s">
        <v>0</v>
      </c>
      <c r="B1" s="2" t="s">
        <v>1</v>
      </c>
      <c r="C1" s="3"/>
      <c r="D1" s="4"/>
      <c r="E1" s="3"/>
      <c r="F1" s="3"/>
      <c r="G1" s="3"/>
      <c r="H1" s="5" t="s">
        <v>2</v>
      </c>
      <c r="M1" s="6" t="s">
        <v>3</v>
      </c>
      <c r="R1" s="7"/>
      <c r="S1" s="7"/>
      <c r="T1" s="7"/>
      <c r="U1" s="7"/>
      <c r="V1" s="7"/>
      <c r="W1" s="7"/>
      <c r="X1" s="7"/>
      <c r="Y1" s="7"/>
      <c r="Z1" s="7"/>
      <c r="AA1" s="7"/>
      <c r="AB1" s="7"/>
      <c r="AC1" s="7"/>
      <c r="AD1" s="7"/>
    </row>
    <row r="2">
      <c r="A2" s="8" t="s">
        <v>4</v>
      </c>
      <c r="B2" s="3" t="s">
        <v>5</v>
      </c>
      <c r="C2" s="3" t="s">
        <v>6</v>
      </c>
      <c r="D2" s="9" t="s">
        <v>7</v>
      </c>
      <c r="E2" s="3" t="s">
        <v>8</v>
      </c>
      <c r="F2" s="3" t="s">
        <v>9</v>
      </c>
      <c r="G2" s="3" t="s">
        <v>10</v>
      </c>
      <c r="H2" s="10" t="s">
        <v>11</v>
      </c>
      <c r="I2" s="10" t="s">
        <v>12</v>
      </c>
      <c r="J2" s="10" t="s">
        <v>13</v>
      </c>
      <c r="K2" s="11" t="s">
        <v>14</v>
      </c>
      <c r="L2" s="10" t="s">
        <v>15</v>
      </c>
      <c r="M2" s="12" t="s">
        <v>11</v>
      </c>
      <c r="N2" s="12" t="s">
        <v>12</v>
      </c>
      <c r="O2" s="12" t="s">
        <v>13</v>
      </c>
      <c r="P2" s="13" t="s">
        <v>16</v>
      </c>
      <c r="Q2" s="12" t="s">
        <v>17</v>
      </c>
      <c r="R2" s="14"/>
      <c r="S2" s="14"/>
      <c r="T2" s="14"/>
      <c r="U2" s="14"/>
      <c r="V2" s="14"/>
      <c r="W2" s="14"/>
      <c r="X2" s="14"/>
      <c r="Y2" s="14"/>
      <c r="Z2" s="14"/>
      <c r="AA2" s="14"/>
      <c r="AB2" s="14"/>
      <c r="AC2" s="14"/>
      <c r="AD2" s="14"/>
    </row>
    <row r="3">
      <c r="A3" s="15" t="s">
        <v>18</v>
      </c>
      <c r="B3" s="16">
        <v>45440.0</v>
      </c>
      <c r="C3" s="17" t="s">
        <v>19</v>
      </c>
      <c r="D3" s="18" t="s">
        <v>20</v>
      </c>
      <c r="E3" s="18" t="s">
        <v>21</v>
      </c>
      <c r="F3" s="18">
        <v>993.0</v>
      </c>
      <c r="G3" s="18"/>
      <c r="H3" s="19">
        <v>5599.0</v>
      </c>
      <c r="I3" s="19">
        <v>6084.0</v>
      </c>
      <c r="J3" s="19">
        <v>6844.0</v>
      </c>
      <c r="K3" s="20">
        <v>2.777777777777778E-4</v>
      </c>
      <c r="L3" s="21">
        <v>0.714</v>
      </c>
      <c r="M3" s="22">
        <v>5763.0</v>
      </c>
      <c r="N3" s="22">
        <v>6322.0</v>
      </c>
      <c r="O3" s="22">
        <v>7112.0</v>
      </c>
      <c r="P3" s="23">
        <v>2.8935185185185184E-4</v>
      </c>
      <c r="Q3" s="24">
        <v>0.7009</v>
      </c>
    </row>
    <row r="4">
      <c r="A4" s="25" t="s">
        <v>22</v>
      </c>
      <c r="B4" s="26">
        <v>45440.0</v>
      </c>
      <c r="C4" s="17" t="s">
        <v>23</v>
      </c>
      <c r="D4" s="18" t="s">
        <v>20</v>
      </c>
      <c r="E4" s="18" t="s">
        <v>24</v>
      </c>
      <c r="F4" s="18">
        <v>1483.0</v>
      </c>
      <c r="G4" s="18"/>
      <c r="H4" s="19">
        <v>5147.0</v>
      </c>
      <c r="I4" s="19">
        <v>5790.0</v>
      </c>
      <c r="J4" s="19">
        <v>6233.0</v>
      </c>
      <c r="K4" s="20">
        <v>5.324074074074074E-4</v>
      </c>
      <c r="L4" s="21">
        <v>0.6812</v>
      </c>
      <c r="M4" s="22">
        <v>6608.0</v>
      </c>
      <c r="N4" s="22">
        <v>7439.0</v>
      </c>
      <c r="O4" s="22">
        <v>7999.0</v>
      </c>
      <c r="P4" s="23">
        <v>5.555555555555556E-4</v>
      </c>
      <c r="Q4" s="24">
        <v>0.647</v>
      </c>
    </row>
    <row r="5">
      <c r="A5" s="27" t="s">
        <v>25</v>
      </c>
      <c r="B5" s="16">
        <v>45863.0</v>
      </c>
      <c r="C5" s="28" t="s">
        <v>26</v>
      </c>
      <c r="D5" s="18" t="s">
        <v>20</v>
      </c>
      <c r="E5" s="18" t="s">
        <v>24</v>
      </c>
      <c r="F5" s="18">
        <v>1115.0</v>
      </c>
      <c r="G5" s="18"/>
      <c r="H5" s="19">
        <v>3582.0</v>
      </c>
      <c r="I5" s="19">
        <v>4010.0</v>
      </c>
      <c r="J5" s="19">
        <v>4380.0</v>
      </c>
      <c r="K5" s="20">
        <v>4.976851851851852E-4</v>
      </c>
      <c r="L5" s="21">
        <v>0.4529</v>
      </c>
      <c r="M5" s="22">
        <v>7207.0</v>
      </c>
      <c r="N5" s="22">
        <v>7842.0</v>
      </c>
      <c r="O5" s="22">
        <v>8473.0</v>
      </c>
      <c r="P5" s="23">
        <v>3.2407407407407406E-4</v>
      </c>
      <c r="Q5" s="24">
        <v>0.6361</v>
      </c>
    </row>
    <row r="6">
      <c r="A6" s="15" t="s">
        <v>27</v>
      </c>
      <c r="B6" s="16">
        <v>45454.0</v>
      </c>
      <c r="C6" s="17" t="s">
        <v>28</v>
      </c>
      <c r="D6" s="18" t="s">
        <v>29</v>
      </c>
      <c r="E6" s="18" t="s">
        <v>21</v>
      </c>
      <c r="F6" s="18">
        <v>796.0</v>
      </c>
      <c r="G6" s="18"/>
      <c r="H6" s="19">
        <v>2905.0</v>
      </c>
      <c r="I6" s="19">
        <v>3195.0</v>
      </c>
      <c r="J6" s="19">
        <v>3585.0</v>
      </c>
      <c r="K6" s="20">
        <v>3.2407407407407406E-4</v>
      </c>
      <c r="L6" s="21">
        <v>0.3981</v>
      </c>
      <c r="M6" s="22">
        <v>3983.0</v>
      </c>
      <c r="N6" s="22">
        <v>4547.0</v>
      </c>
      <c r="O6" s="22">
        <v>5095.0</v>
      </c>
      <c r="P6" s="23">
        <v>3.4722222222222224E-4</v>
      </c>
      <c r="Q6" s="24">
        <v>0.3668</v>
      </c>
    </row>
    <row r="7">
      <c r="A7" s="15" t="s">
        <v>30</v>
      </c>
      <c r="B7" s="16">
        <v>45728.0</v>
      </c>
      <c r="C7" s="17" t="s">
        <v>31</v>
      </c>
      <c r="D7" s="18" t="s">
        <v>20</v>
      </c>
      <c r="E7" s="18" t="s">
        <v>21</v>
      </c>
      <c r="F7" s="18">
        <v>1319.0</v>
      </c>
      <c r="G7" s="18"/>
      <c r="H7" s="19">
        <v>1571.0</v>
      </c>
      <c r="I7" s="19">
        <v>1893.0</v>
      </c>
      <c r="J7" s="19">
        <v>2097.0</v>
      </c>
      <c r="K7" s="20">
        <v>3.2407407407407406E-4</v>
      </c>
      <c r="L7" s="21">
        <v>0.4675</v>
      </c>
      <c r="M7" s="22">
        <v>1755.0</v>
      </c>
      <c r="N7" s="22">
        <v>2193.0</v>
      </c>
      <c r="O7" s="22">
        <v>2443.0</v>
      </c>
      <c r="P7" s="23">
        <v>3.2407407407407406E-4</v>
      </c>
      <c r="Q7" s="24">
        <v>0.4505</v>
      </c>
    </row>
    <row r="8">
      <c r="A8" s="29" t="s">
        <v>32</v>
      </c>
      <c r="B8" s="16">
        <v>45777.0</v>
      </c>
      <c r="C8" s="17" t="s">
        <v>33</v>
      </c>
      <c r="D8" s="18" t="s">
        <v>29</v>
      </c>
      <c r="E8" s="18" t="s">
        <v>21</v>
      </c>
      <c r="F8" s="18">
        <v>661.0</v>
      </c>
      <c r="G8" s="18"/>
      <c r="H8" s="19">
        <v>1331.0</v>
      </c>
      <c r="I8" s="19">
        <v>1632.0</v>
      </c>
      <c r="J8" s="19">
        <v>1865.0</v>
      </c>
      <c r="K8" s="20">
        <v>2.777777777777778E-4</v>
      </c>
      <c r="L8" s="21">
        <v>0.5576</v>
      </c>
      <c r="M8" s="22">
        <v>1662.0</v>
      </c>
      <c r="N8" s="22">
        <v>2018.0</v>
      </c>
      <c r="O8" s="22">
        <v>2292.0</v>
      </c>
      <c r="P8" s="23">
        <v>2.8935185185185184E-4</v>
      </c>
      <c r="Q8" s="24">
        <v>0.5149</v>
      </c>
    </row>
    <row r="9">
      <c r="A9" s="30"/>
      <c r="B9" s="31">
        <v>45897.0</v>
      </c>
      <c r="C9" s="32" t="s">
        <v>34</v>
      </c>
      <c r="D9" s="18" t="s">
        <v>20</v>
      </c>
      <c r="E9" s="18" t="s">
        <v>24</v>
      </c>
      <c r="F9" s="18">
        <v>1144.0</v>
      </c>
      <c r="G9" s="18"/>
      <c r="H9" s="19">
        <v>1378.0</v>
      </c>
      <c r="I9" s="19">
        <v>1573.0</v>
      </c>
      <c r="J9" s="19">
        <v>1742.0</v>
      </c>
      <c r="K9" s="20">
        <v>9.490740740740741E-4</v>
      </c>
      <c r="L9" s="21">
        <v>0.3999</v>
      </c>
      <c r="M9" s="22">
        <v>1550.0</v>
      </c>
      <c r="N9" s="22">
        <v>1824.0</v>
      </c>
      <c r="O9" s="22">
        <v>2006.0</v>
      </c>
      <c r="P9" s="23">
        <v>8.796296296296296E-4</v>
      </c>
      <c r="Q9" s="24">
        <v>0.4189</v>
      </c>
    </row>
    <row r="10">
      <c r="A10" s="30"/>
      <c r="B10" s="31">
        <v>45910.0</v>
      </c>
      <c r="C10" s="32" t="s">
        <v>35</v>
      </c>
      <c r="D10" s="18" t="s">
        <v>20</v>
      </c>
      <c r="E10" s="18" t="s">
        <v>21</v>
      </c>
      <c r="F10" s="18">
        <v>902.0</v>
      </c>
      <c r="G10" s="18"/>
      <c r="H10" s="19">
        <v>1274.0</v>
      </c>
      <c r="I10" s="19">
        <v>1546.0</v>
      </c>
      <c r="J10" s="19">
        <v>1616.0</v>
      </c>
      <c r="K10" s="20">
        <v>5.092592592592592E-4</v>
      </c>
      <c r="L10" s="21">
        <v>0.3365</v>
      </c>
      <c r="M10" s="22"/>
      <c r="N10" s="22"/>
      <c r="O10" s="22"/>
      <c r="P10" s="23"/>
      <c r="Q10" s="24"/>
    </row>
    <row r="11">
      <c r="A11" s="25" t="s">
        <v>36</v>
      </c>
      <c r="B11" s="26">
        <v>45742.0</v>
      </c>
      <c r="C11" s="17" t="s">
        <v>37</v>
      </c>
      <c r="D11" s="18" t="s">
        <v>29</v>
      </c>
      <c r="E11" s="18" t="s">
        <v>21</v>
      </c>
      <c r="F11" s="18">
        <v>543.0</v>
      </c>
      <c r="G11" s="18"/>
      <c r="H11" s="19">
        <v>1203.0</v>
      </c>
      <c r="I11" s="19">
        <v>1417.0</v>
      </c>
      <c r="J11" s="19">
        <v>1600.0</v>
      </c>
      <c r="K11" s="20">
        <v>1.9675925925925926E-4</v>
      </c>
      <c r="L11" s="21">
        <v>0.6422</v>
      </c>
      <c r="M11" s="22">
        <v>1382.0</v>
      </c>
      <c r="N11" s="22">
        <v>1672.0</v>
      </c>
      <c r="O11" s="22">
        <v>1876.0</v>
      </c>
      <c r="P11" s="23">
        <v>2.0833333333333335E-4</v>
      </c>
      <c r="Q11" s="24">
        <v>0.6298</v>
      </c>
    </row>
    <row r="12">
      <c r="A12" s="33" t="s">
        <v>38</v>
      </c>
      <c r="B12" s="26">
        <v>45819.0</v>
      </c>
      <c r="C12" s="17" t="s">
        <v>39</v>
      </c>
      <c r="D12" s="18" t="s">
        <v>20</v>
      </c>
      <c r="E12" s="18" t="s">
        <v>21</v>
      </c>
      <c r="F12" s="18">
        <v>941.0</v>
      </c>
      <c r="G12" s="18"/>
      <c r="H12" s="19">
        <v>1273.0</v>
      </c>
      <c r="I12" s="19">
        <v>1422.0</v>
      </c>
      <c r="J12" s="19">
        <v>1529.0</v>
      </c>
      <c r="K12" s="20">
        <v>5.902777777777778E-4</v>
      </c>
      <c r="L12" s="21">
        <v>0.41</v>
      </c>
      <c r="M12" s="22">
        <v>1368.0</v>
      </c>
      <c r="N12" s="22">
        <v>1552.0</v>
      </c>
      <c r="O12" s="22">
        <v>1667.0</v>
      </c>
      <c r="P12" s="23">
        <v>5.902777777777778E-4</v>
      </c>
      <c r="Q12" s="24">
        <v>0.4098</v>
      </c>
    </row>
    <row r="13">
      <c r="A13" s="15" t="s">
        <v>40</v>
      </c>
      <c r="B13" s="16">
        <v>45502.0</v>
      </c>
      <c r="C13" s="17" t="s">
        <v>41</v>
      </c>
      <c r="D13" s="18" t="s">
        <v>20</v>
      </c>
      <c r="E13" s="18" t="s">
        <v>24</v>
      </c>
      <c r="F13" s="18">
        <v>3439.0</v>
      </c>
      <c r="G13" s="18"/>
      <c r="H13" s="34">
        <v>864.0</v>
      </c>
      <c r="I13" s="19">
        <v>1065.0</v>
      </c>
      <c r="J13" s="19">
        <v>1257.0</v>
      </c>
      <c r="K13" s="20">
        <v>7.87037037037037E-4</v>
      </c>
      <c r="L13" s="21">
        <v>0.3183</v>
      </c>
      <c r="M13" s="22">
        <v>1114.0</v>
      </c>
      <c r="N13" s="22">
        <v>1388.0</v>
      </c>
      <c r="O13" s="22">
        <v>1630.0</v>
      </c>
      <c r="P13" s="23">
        <v>6.828703703703704E-4</v>
      </c>
      <c r="Q13" s="24">
        <v>0.2731</v>
      </c>
    </row>
    <row r="14">
      <c r="A14" s="15" t="s">
        <v>42</v>
      </c>
      <c r="B14" s="16">
        <v>45765.0</v>
      </c>
      <c r="C14" s="17" t="s">
        <v>43</v>
      </c>
      <c r="D14" s="18" t="s">
        <v>29</v>
      </c>
      <c r="E14" s="18" t="s">
        <v>24</v>
      </c>
      <c r="F14" s="18">
        <v>2190.0</v>
      </c>
      <c r="G14" s="18"/>
      <c r="H14" s="19">
        <v>1042.0</v>
      </c>
      <c r="I14" s="19">
        <v>1151.0</v>
      </c>
      <c r="J14" s="19">
        <v>1224.0</v>
      </c>
      <c r="K14" s="20">
        <v>7.986111111111112E-4</v>
      </c>
      <c r="L14" s="21">
        <v>0.4587</v>
      </c>
      <c r="M14" s="22">
        <v>1376.0</v>
      </c>
      <c r="N14" s="22">
        <v>1523.0</v>
      </c>
      <c r="O14" s="22">
        <v>1628.0</v>
      </c>
      <c r="P14" s="23">
        <v>7.87037037037037E-4</v>
      </c>
      <c r="Q14" s="24">
        <v>0.4399</v>
      </c>
    </row>
    <row r="15">
      <c r="A15" s="25" t="s">
        <v>44</v>
      </c>
      <c r="B15" s="26">
        <v>45728.0</v>
      </c>
      <c r="C15" s="17" t="s">
        <v>45</v>
      </c>
      <c r="D15" s="18" t="s">
        <v>20</v>
      </c>
      <c r="E15" s="18" t="s">
        <v>21</v>
      </c>
      <c r="F15" s="18">
        <v>948.0</v>
      </c>
      <c r="G15" s="18"/>
      <c r="H15" s="19">
        <v>837.0</v>
      </c>
      <c r="I15" s="19">
        <v>948.0</v>
      </c>
      <c r="J15" s="19">
        <v>1066.0</v>
      </c>
      <c r="K15" s="20">
        <v>4.5138888888888887E-4</v>
      </c>
      <c r="L15" s="21">
        <v>0.4694</v>
      </c>
      <c r="M15" s="22">
        <v>935.0</v>
      </c>
      <c r="N15" s="22">
        <v>1059.0</v>
      </c>
      <c r="O15" s="22">
        <v>1192.0</v>
      </c>
      <c r="P15" s="23">
        <v>4.7453703703703704E-4</v>
      </c>
      <c r="Q15" s="24">
        <v>0.4508</v>
      </c>
    </row>
    <row r="16">
      <c r="A16" s="30"/>
      <c r="B16" s="31">
        <v>45968.0</v>
      </c>
      <c r="C16" s="32" t="s">
        <v>46</v>
      </c>
      <c r="D16" s="18" t="s">
        <v>20</v>
      </c>
      <c r="E16" s="18" t="s">
        <v>21</v>
      </c>
      <c r="F16" s="18">
        <v>618.0</v>
      </c>
      <c r="G16" s="18"/>
      <c r="H16" s="19">
        <v>804.0</v>
      </c>
      <c r="I16" s="19">
        <v>997.0</v>
      </c>
      <c r="J16" s="19">
        <v>1062.0</v>
      </c>
      <c r="K16" s="20">
        <v>3.8194444444444446E-4</v>
      </c>
      <c r="L16" s="21">
        <v>0.4553</v>
      </c>
      <c r="M16" s="22"/>
      <c r="N16" s="22"/>
      <c r="O16" s="22"/>
      <c r="P16" s="23"/>
      <c r="Q16" s="24"/>
    </row>
    <row r="17">
      <c r="A17" s="35" t="s">
        <v>47</v>
      </c>
      <c r="B17" s="16">
        <v>45881.0</v>
      </c>
      <c r="C17" s="32" t="s">
        <v>48</v>
      </c>
      <c r="D17" s="18" t="s">
        <v>20</v>
      </c>
      <c r="E17" s="18" t="s">
        <v>21</v>
      </c>
      <c r="F17" s="18">
        <v>663.0</v>
      </c>
      <c r="G17" s="18"/>
      <c r="H17" s="34">
        <v>742.0</v>
      </c>
      <c r="I17" s="34">
        <v>889.0</v>
      </c>
      <c r="J17" s="19">
        <v>1035.0</v>
      </c>
      <c r="K17" s="20">
        <v>4.7453703703703704E-4</v>
      </c>
      <c r="L17" s="21">
        <v>0.4094</v>
      </c>
      <c r="M17" s="22">
        <v>1551.0</v>
      </c>
      <c r="N17" s="22">
        <v>1827.0</v>
      </c>
      <c r="O17" s="22">
        <v>2074.0</v>
      </c>
      <c r="P17" s="23">
        <v>3.935185185185185E-4</v>
      </c>
      <c r="Q17" s="24">
        <v>0.3065</v>
      </c>
    </row>
    <row r="18">
      <c r="A18" s="25" t="s">
        <v>49</v>
      </c>
      <c r="B18" s="26">
        <v>45467.0</v>
      </c>
      <c r="C18" s="17" t="s">
        <v>50</v>
      </c>
      <c r="D18" s="18" t="s">
        <v>29</v>
      </c>
      <c r="E18" s="18" t="s">
        <v>21</v>
      </c>
      <c r="F18" s="18">
        <v>616.0</v>
      </c>
      <c r="G18" s="18"/>
      <c r="H18" s="36">
        <v>761.0</v>
      </c>
      <c r="I18" s="36">
        <v>890.0</v>
      </c>
      <c r="J18" s="36">
        <v>986.0</v>
      </c>
      <c r="K18" s="37">
        <v>2.662037037037037E-4</v>
      </c>
      <c r="L18" s="38">
        <v>0.3685</v>
      </c>
      <c r="M18" s="39">
        <v>825.0</v>
      </c>
      <c r="N18" s="39">
        <v>984.0</v>
      </c>
      <c r="O18" s="39">
        <v>1091.0</v>
      </c>
      <c r="P18" s="40">
        <v>2.662037037037037E-4</v>
      </c>
      <c r="Q18" s="41">
        <v>0.378</v>
      </c>
    </row>
    <row r="19">
      <c r="A19" s="15" t="s">
        <v>51</v>
      </c>
      <c r="B19" s="26">
        <v>45475.0</v>
      </c>
      <c r="C19" s="17" t="s">
        <v>52</v>
      </c>
      <c r="D19" s="18" t="s">
        <v>29</v>
      </c>
      <c r="E19" s="18" t="s">
        <v>24</v>
      </c>
      <c r="F19" s="18">
        <v>1526.0</v>
      </c>
      <c r="G19" s="18"/>
      <c r="H19" s="34">
        <v>744.0</v>
      </c>
      <c r="I19" s="34">
        <v>881.0</v>
      </c>
      <c r="J19" s="34">
        <v>977.0</v>
      </c>
      <c r="K19" s="20">
        <v>2.546296296296296E-4</v>
      </c>
      <c r="L19" s="21">
        <v>0.5664</v>
      </c>
      <c r="M19" s="42">
        <v>901.0</v>
      </c>
      <c r="N19" s="22">
        <v>1121.0</v>
      </c>
      <c r="O19" s="22">
        <v>1237.0</v>
      </c>
      <c r="P19" s="23">
        <v>2.662037037037037E-4</v>
      </c>
      <c r="Q19" s="24">
        <v>0.5174</v>
      </c>
    </row>
    <row r="20">
      <c r="A20" s="15" t="s">
        <v>53</v>
      </c>
      <c r="B20" s="16">
        <v>45761.0</v>
      </c>
      <c r="C20" s="17" t="s">
        <v>54</v>
      </c>
      <c r="D20" s="18" t="s">
        <v>29</v>
      </c>
      <c r="E20" s="18" t="s">
        <v>21</v>
      </c>
      <c r="F20" s="18">
        <v>969.0</v>
      </c>
      <c r="G20" s="18"/>
      <c r="H20" s="34">
        <v>708.0</v>
      </c>
      <c r="I20" s="34">
        <v>845.0</v>
      </c>
      <c r="J20" s="34">
        <v>928.0</v>
      </c>
      <c r="K20" s="20">
        <v>6.25E-4</v>
      </c>
      <c r="L20" s="21">
        <v>0.3515</v>
      </c>
      <c r="M20" s="42">
        <v>768.0</v>
      </c>
      <c r="N20" s="42">
        <v>934.0</v>
      </c>
      <c r="O20" s="22">
        <v>1026.0</v>
      </c>
      <c r="P20" s="23">
        <v>5.902777777777778E-4</v>
      </c>
      <c r="Q20" s="24">
        <v>0.3437</v>
      </c>
    </row>
    <row r="21">
      <c r="A21" s="27" t="s">
        <v>55</v>
      </c>
      <c r="B21" s="26">
        <v>45856.0</v>
      </c>
      <c r="C21" s="28" t="s">
        <v>56</v>
      </c>
      <c r="D21" s="18" t="s">
        <v>20</v>
      </c>
      <c r="E21" s="18" t="s">
        <v>21</v>
      </c>
      <c r="F21" s="18">
        <v>562.0</v>
      </c>
      <c r="G21" s="18"/>
      <c r="H21" s="34">
        <v>700.0</v>
      </c>
      <c r="I21" s="34">
        <v>821.0</v>
      </c>
      <c r="J21" s="34">
        <v>921.0</v>
      </c>
      <c r="K21" s="20">
        <v>2.777777777777778E-4</v>
      </c>
      <c r="L21" s="21">
        <v>0.3946</v>
      </c>
      <c r="M21" s="42">
        <v>898.0</v>
      </c>
      <c r="N21" s="22">
        <v>1048.0</v>
      </c>
      <c r="O21" s="43">
        <v>1163.0</v>
      </c>
      <c r="P21" s="23">
        <v>2.662037037037037E-4</v>
      </c>
      <c r="Q21" s="24">
        <v>0.3406</v>
      </c>
    </row>
    <row r="22">
      <c r="A22" s="25" t="s">
        <v>57</v>
      </c>
      <c r="B22" s="26">
        <v>45616.0</v>
      </c>
      <c r="C22" s="17" t="s">
        <v>58</v>
      </c>
      <c r="D22" s="18" t="s">
        <v>20</v>
      </c>
      <c r="E22" s="18" t="s">
        <v>24</v>
      </c>
      <c r="F22" s="18">
        <v>2743.0</v>
      </c>
      <c r="G22" s="18"/>
      <c r="H22" s="34">
        <v>652.0</v>
      </c>
      <c r="I22" s="34">
        <v>803.0</v>
      </c>
      <c r="J22" s="34">
        <v>891.0</v>
      </c>
      <c r="K22" s="20">
        <v>5.208333333333333E-4</v>
      </c>
      <c r="L22" s="21">
        <v>0.528</v>
      </c>
      <c r="M22" s="42">
        <v>756.0</v>
      </c>
      <c r="N22" s="42">
        <v>952.0</v>
      </c>
      <c r="O22" s="22">
        <v>1071.0</v>
      </c>
      <c r="P22" s="23">
        <v>5.439814814814814E-4</v>
      </c>
      <c r="Q22" s="24">
        <v>0.4853</v>
      </c>
    </row>
    <row r="23">
      <c r="A23" s="25" t="s">
        <v>59</v>
      </c>
      <c r="B23" s="26">
        <v>45687.0</v>
      </c>
      <c r="C23" s="17" t="s">
        <v>60</v>
      </c>
      <c r="D23" s="18" t="s">
        <v>20</v>
      </c>
      <c r="E23" s="18" t="s">
        <v>24</v>
      </c>
      <c r="F23" s="18">
        <v>1002.0</v>
      </c>
      <c r="G23" s="18"/>
      <c r="H23" s="34">
        <v>709.0</v>
      </c>
      <c r="I23" s="34">
        <v>820.0</v>
      </c>
      <c r="J23" s="34">
        <v>862.0</v>
      </c>
      <c r="K23" s="20">
        <v>4.861111111111111E-4</v>
      </c>
      <c r="L23" s="21">
        <v>0.3146</v>
      </c>
      <c r="M23" s="42">
        <v>740.0</v>
      </c>
      <c r="N23" s="42">
        <v>932.0</v>
      </c>
      <c r="O23" s="42">
        <v>981.0</v>
      </c>
      <c r="P23" s="23">
        <v>4.398148148148148E-4</v>
      </c>
      <c r="Q23" s="24">
        <v>0.3412</v>
      </c>
    </row>
    <row r="24">
      <c r="A24" s="15" t="s">
        <v>61</v>
      </c>
      <c r="B24" s="16">
        <v>45744.0</v>
      </c>
      <c r="C24" s="17" t="s">
        <v>62</v>
      </c>
      <c r="D24" s="18" t="s">
        <v>20</v>
      </c>
      <c r="E24" s="18" t="s">
        <v>24</v>
      </c>
      <c r="F24" s="18">
        <v>1285.0</v>
      </c>
      <c r="G24" s="18"/>
      <c r="H24" s="34">
        <v>655.0</v>
      </c>
      <c r="I24" s="34">
        <v>728.0</v>
      </c>
      <c r="J24" s="34">
        <v>857.0</v>
      </c>
      <c r="K24" s="20">
        <v>4.976851851851852E-4</v>
      </c>
      <c r="L24" s="21">
        <v>0.1484</v>
      </c>
      <c r="M24" s="42">
        <v>704.0</v>
      </c>
      <c r="N24" s="42">
        <v>798.0</v>
      </c>
      <c r="O24" s="42">
        <v>945.0</v>
      </c>
      <c r="P24" s="23">
        <v>4.861111111111111E-4</v>
      </c>
      <c r="Q24" s="24">
        <v>0.1591</v>
      </c>
    </row>
    <row r="25">
      <c r="A25" s="30"/>
      <c r="B25" s="31">
        <v>45951.0</v>
      </c>
      <c r="C25" s="32" t="s">
        <v>63</v>
      </c>
      <c r="D25" s="18" t="s">
        <v>20</v>
      </c>
      <c r="E25" s="18" t="s">
        <v>24</v>
      </c>
      <c r="F25" s="18">
        <v>1894.0</v>
      </c>
      <c r="G25" s="18"/>
      <c r="H25" s="19">
        <v>668.0</v>
      </c>
      <c r="I25" s="19">
        <v>765.0</v>
      </c>
      <c r="J25" s="19">
        <v>848.0</v>
      </c>
      <c r="K25" s="20">
        <v>4.861111111111111E-4</v>
      </c>
      <c r="L25" s="21">
        <v>0.4601</v>
      </c>
      <c r="M25" s="22"/>
      <c r="N25" s="22"/>
      <c r="O25" s="22"/>
      <c r="P25" s="23"/>
      <c r="Q25" s="24"/>
    </row>
    <row r="26">
      <c r="A26" s="44" t="s">
        <v>64</v>
      </c>
      <c r="B26" s="45">
        <v>45782.0</v>
      </c>
      <c r="C26" s="46" t="s">
        <v>65</v>
      </c>
      <c r="D26" s="18" t="s">
        <v>20</v>
      </c>
      <c r="E26" s="18" t="s">
        <v>21</v>
      </c>
      <c r="F26" s="18">
        <v>744.0</v>
      </c>
      <c r="G26" s="18"/>
      <c r="H26" s="34">
        <v>598.0</v>
      </c>
      <c r="I26" s="34">
        <v>720.0</v>
      </c>
      <c r="J26" s="34">
        <v>820.0</v>
      </c>
      <c r="K26" s="20">
        <v>6.018518518518519E-4</v>
      </c>
      <c r="L26" s="21">
        <v>0.2778</v>
      </c>
      <c r="M26" s="42">
        <v>986.0</v>
      </c>
      <c r="N26" s="22">
        <v>1214.0</v>
      </c>
      <c r="O26" s="22">
        <v>1375.0</v>
      </c>
      <c r="P26" s="23">
        <v>5.555555555555556E-4</v>
      </c>
      <c r="Q26" s="24">
        <v>0.2257</v>
      </c>
    </row>
    <row r="27">
      <c r="A27" s="47" t="s">
        <v>66</v>
      </c>
      <c r="B27" s="48">
        <v>45509.0</v>
      </c>
      <c r="C27" s="49" t="s">
        <v>67</v>
      </c>
      <c r="D27" s="50" t="s">
        <v>29</v>
      </c>
      <c r="E27" s="50" t="s">
        <v>24</v>
      </c>
      <c r="F27" s="50">
        <v>1130.0</v>
      </c>
      <c r="G27" s="18"/>
      <c r="H27" s="50">
        <v>631.0</v>
      </c>
      <c r="I27" s="51">
        <v>754.0</v>
      </c>
      <c r="J27" s="51">
        <v>813.0</v>
      </c>
      <c r="K27" s="52">
        <v>2.8935185185185184E-4</v>
      </c>
      <c r="L27" s="53">
        <v>0.5597</v>
      </c>
      <c r="M27" s="51">
        <v>781.0</v>
      </c>
      <c r="N27" s="51">
        <v>968.0</v>
      </c>
      <c r="O27" s="51">
        <v>1056.0</v>
      </c>
      <c r="P27" s="52">
        <v>3.125E-4</v>
      </c>
      <c r="Q27" s="53">
        <v>0.5145</v>
      </c>
      <c r="R27" s="54"/>
      <c r="S27" s="54"/>
      <c r="T27" s="54"/>
      <c r="U27" s="54"/>
      <c r="V27" s="54"/>
      <c r="W27" s="54"/>
      <c r="X27" s="54"/>
      <c r="Y27" s="54"/>
      <c r="Z27" s="54"/>
      <c r="AA27" s="54"/>
      <c r="AB27" s="54"/>
      <c r="AC27" s="54"/>
      <c r="AD27" s="54"/>
    </row>
    <row r="28">
      <c r="A28" s="55" t="s">
        <v>68</v>
      </c>
      <c r="B28" s="56">
        <v>45834.0</v>
      </c>
      <c r="C28" s="57" t="s">
        <v>69</v>
      </c>
      <c r="D28" s="18" t="s">
        <v>20</v>
      </c>
      <c r="E28" s="18" t="s">
        <v>24</v>
      </c>
      <c r="F28" s="18">
        <v>1572.0</v>
      </c>
      <c r="G28" s="18"/>
      <c r="H28" s="34">
        <v>593.0</v>
      </c>
      <c r="I28" s="34">
        <v>678.0</v>
      </c>
      <c r="J28" s="34">
        <v>753.0</v>
      </c>
      <c r="K28" s="20">
        <v>8.796296296296296E-4</v>
      </c>
      <c r="L28" s="21">
        <v>0.3319</v>
      </c>
      <c r="M28" s="42">
        <v>771.0</v>
      </c>
      <c r="N28" s="42">
        <v>933.0</v>
      </c>
      <c r="O28" s="22">
        <v>1064.0</v>
      </c>
      <c r="P28" s="23">
        <v>8.796296296296296E-4</v>
      </c>
      <c r="Q28" s="24">
        <v>0.3033</v>
      </c>
    </row>
    <row r="29">
      <c r="A29" s="58" t="s">
        <v>70</v>
      </c>
      <c r="B29" s="59">
        <v>45569.0</v>
      </c>
      <c r="C29" s="60" t="s">
        <v>71</v>
      </c>
      <c r="D29" s="18" t="s">
        <v>20</v>
      </c>
      <c r="E29" s="18" t="s">
        <v>24</v>
      </c>
      <c r="F29" s="18">
        <v>3201.0</v>
      </c>
      <c r="G29" s="18"/>
      <c r="H29" s="34">
        <v>548.0</v>
      </c>
      <c r="I29" s="34">
        <v>642.0</v>
      </c>
      <c r="J29" s="34">
        <v>753.0</v>
      </c>
      <c r="K29" s="20">
        <v>6.828703703703704E-4</v>
      </c>
      <c r="L29" s="21">
        <v>0.3131</v>
      </c>
      <c r="M29" s="42">
        <v>992.0</v>
      </c>
      <c r="N29" s="22">
        <v>1165.0</v>
      </c>
      <c r="O29" s="22">
        <v>1359.0</v>
      </c>
      <c r="P29" s="23">
        <v>8.217592592592593E-4</v>
      </c>
      <c r="Q29" s="24">
        <v>0.3288</v>
      </c>
    </row>
    <row r="30">
      <c r="A30" s="61" t="s">
        <v>72</v>
      </c>
      <c r="B30" s="45">
        <v>45735.0</v>
      </c>
      <c r="C30" s="46" t="s">
        <v>73</v>
      </c>
      <c r="D30" s="18" t="s">
        <v>20</v>
      </c>
      <c r="E30" s="18" t="s">
        <v>21</v>
      </c>
      <c r="F30" s="18">
        <v>787.0</v>
      </c>
      <c r="G30" s="18"/>
      <c r="H30" s="34">
        <v>575.0</v>
      </c>
      <c r="I30" s="34">
        <v>668.0</v>
      </c>
      <c r="J30" s="34">
        <v>749.0</v>
      </c>
      <c r="K30" s="20">
        <v>4.976851851851852E-4</v>
      </c>
      <c r="L30" s="21">
        <v>0.3518</v>
      </c>
      <c r="M30" s="22">
        <v>1005.0</v>
      </c>
      <c r="N30" s="22">
        <v>1155.0</v>
      </c>
      <c r="O30" s="22">
        <v>1291.0</v>
      </c>
      <c r="P30" s="23">
        <v>5.439814814814814E-4</v>
      </c>
      <c r="Q30" s="24">
        <v>0.3662</v>
      </c>
    </row>
    <row r="31">
      <c r="A31" s="62" t="s">
        <v>74</v>
      </c>
      <c r="B31" s="63">
        <v>45814.0</v>
      </c>
      <c r="C31" s="46" t="s">
        <v>75</v>
      </c>
      <c r="D31" s="18" t="s">
        <v>20</v>
      </c>
      <c r="E31" s="18" t="s">
        <v>24</v>
      </c>
      <c r="F31" s="18">
        <v>1261.0</v>
      </c>
      <c r="G31" s="18"/>
      <c r="H31" s="34">
        <v>462.0</v>
      </c>
      <c r="I31" s="34">
        <v>614.0</v>
      </c>
      <c r="J31" s="34">
        <v>707.0</v>
      </c>
      <c r="K31" s="20">
        <v>4.7453703703703704E-4</v>
      </c>
      <c r="L31" s="21">
        <v>0.4235</v>
      </c>
      <c r="M31" s="42">
        <v>521.0</v>
      </c>
      <c r="N31" s="42">
        <v>709.0</v>
      </c>
      <c r="O31" s="42">
        <v>818.0</v>
      </c>
      <c r="P31" s="23">
        <v>4.62962962962963E-4</v>
      </c>
      <c r="Q31" s="24">
        <v>0.3949</v>
      </c>
    </row>
    <row r="32">
      <c r="A32" s="64" t="s">
        <v>76</v>
      </c>
      <c r="B32" s="56">
        <v>45595.0</v>
      </c>
      <c r="C32" s="60" t="s">
        <v>77</v>
      </c>
      <c r="D32" s="18" t="s">
        <v>20</v>
      </c>
      <c r="E32" s="18" t="s">
        <v>24</v>
      </c>
      <c r="F32" s="18">
        <v>1422.0</v>
      </c>
      <c r="G32" s="18"/>
      <c r="H32" s="34">
        <v>562.0</v>
      </c>
      <c r="I32" s="34">
        <v>638.0</v>
      </c>
      <c r="J32" s="34">
        <v>701.0</v>
      </c>
      <c r="K32" s="20">
        <v>8.217592592592593E-4</v>
      </c>
      <c r="L32" s="21">
        <v>0.4577</v>
      </c>
      <c r="M32" s="42">
        <v>580.0</v>
      </c>
      <c r="N32" s="42">
        <v>669.0</v>
      </c>
      <c r="O32" s="42">
        <v>737.0</v>
      </c>
      <c r="P32" s="23">
        <v>8.217592592592593E-4</v>
      </c>
      <c r="Q32" s="24">
        <v>0.4499</v>
      </c>
    </row>
    <row r="33">
      <c r="A33" s="65" t="s">
        <v>78</v>
      </c>
      <c r="B33" s="63">
        <v>45433.0</v>
      </c>
      <c r="C33" s="46" t="s">
        <v>79</v>
      </c>
      <c r="D33" s="18" t="s">
        <v>20</v>
      </c>
      <c r="E33" s="18" t="s">
        <v>21</v>
      </c>
      <c r="F33" s="18">
        <v>560.0</v>
      </c>
      <c r="G33" s="18"/>
      <c r="H33" s="34">
        <v>519.0</v>
      </c>
      <c r="I33" s="34">
        <v>609.0</v>
      </c>
      <c r="J33" s="34">
        <v>687.0</v>
      </c>
      <c r="K33" s="20">
        <v>3.935185185185185E-4</v>
      </c>
      <c r="L33" s="21">
        <v>0.4795</v>
      </c>
      <c r="M33" s="42">
        <v>597.0</v>
      </c>
      <c r="N33" s="42">
        <v>729.0</v>
      </c>
      <c r="O33" s="42">
        <v>819.0</v>
      </c>
      <c r="P33" s="23">
        <v>3.7037037037037035E-4</v>
      </c>
      <c r="Q33" s="24">
        <v>0.4856</v>
      </c>
    </row>
    <row r="34">
      <c r="A34" s="44" t="s">
        <v>80</v>
      </c>
      <c r="B34" s="56">
        <v>45805.0</v>
      </c>
      <c r="C34" s="46" t="s">
        <v>81</v>
      </c>
      <c r="D34" s="18" t="s">
        <v>20</v>
      </c>
      <c r="E34" s="18" t="s">
        <v>21</v>
      </c>
      <c r="F34" s="18">
        <v>894.0</v>
      </c>
      <c r="G34" s="18"/>
      <c r="H34" s="34">
        <v>472.0</v>
      </c>
      <c r="I34" s="34">
        <v>588.0</v>
      </c>
      <c r="J34" s="34">
        <v>685.0</v>
      </c>
      <c r="K34" s="66">
        <v>3.8194444444444446E-4</v>
      </c>
      <c r="L34" s="21">
        <v>0.4286</v>
      </c>
      <c r="M34" s="42">
        <v>547.0</v>
      </c>
      <c r="N34" s="42">
        <v>697.0</v>
      </c>
      <c r="O34" s="42">
        <v>803.0</v>
      </c>
      <c r="P34" s="23">
        <v>3.4722222222222224E-4</v>
      </c>
      <c r="Q34" s="24">
        <v>0.4204</v>
      </c>
    </row>
    <row r="35">
      <c r="A35" s="65" t="s">
        <v>82</v>
      </c>
      <c r="B35" s="63">
        <v>45409.0</v>
      </c>
      <c r="C35" s="46" t="s">
        <v>83</v>
      </c>
      <c r="D35" s="18" t="s">
        <v>20</v>
      </c>
      <c r="E35" s="18" t="s">
        <v>21</v>
      </c>
      <c r="F35" s="18">
        <v>884.0</v>
      </c>
      <c r="G35" s="18"/>
      <c r="H35" s="34">
        <v>637.0</v>
      </c>
      <c r="I35" s="34">
        <v>827.0</v>
      </c>
      <c r="J35" s="34">
        <v>594.0</v>
      </c>
      <c r="K35" s="20">
        <v>7.754629629629629E-4</v>
      </c>
      <c r="L35" s="21"/>
      <c r="M35" s="42">
        <v>688.0</v>
      </c>
      <c r="N35" s="42">
        <v>893.0</v>
      </c>
      <c r="O35" s="42">
        <v>935.0</v>
      </c>
      <c r="P35" s="23">
        <v>7.638888888888889E-4</v>
      </c>
      <c r="Q35" s="24"/>
    </row>
    <row r="36">
      <c r="A36" s="44" t="s">
        <v>84</v>
      </c>
      <c r="B36" s="56">
        <v>45818.0</v>
      </c>
      <c r="C36" s="67" t="s">
        <v>85</v>
      </c>
      <c r="D36" s="18" t="s">
        <v>20</v>
      </c>
      <c r="E36" s="18" t="s">
        <v>24</v>
      </c>
      <c r="F36" s="18">
        <v>1646.0</v>
      </c>
      <c r="G36" s="18"/>
      <c r="H36" s="19">
        <v>358.0</v>
      </c>
      <c r="I36" s="19">
        <v>485.0</v>
      </c>
      <c r="J36" s="19">
        <v>590.0</v>
      </c>
      <c r="K36" s="20">
        <v>5.324074074074074E-4</v>
      </c>
      <c r="L36" s="21">
        <v>0.3505</v>
      </c>
      <c r="M36" s="22">
        <v>399.0</v>
      </c>
      <c r="N36" s="22">
        <v>565.0</v>
      </c>
      <c r="O36" s="22">
        <v>682.0</v>
      </c>
      <c r="P36" s="23">
        <v>5.324074074074074E-4</v>
      </c>
      <c r="Q36" s="24">
        <v>0.3345</v>
      </c>
    </row>
    <row r="37">
      <c r="A37" s="68"/>
      <c r="B37" s="69">
        <v>45954.0</v>
      </c>
      <c r="C37" s="32" t="s">
        <v>86</v>
      </c>
      <c r="D37" s="18" t="s">
        <v>20</v>
      </c>
      <c r="E37" s="18" t="s">
        <v>24</v>
      </c>
      <c r="F37" s="18">
        <v>1583.0</v>
      </c>
      <c r="G37" s="18"/>
      <c r="H37" s="19">
        <v>420.0</v>
      </c>
      <c r="I37" s="19">
        <v>508.0</v>
      </c>
      <c r="J37" s="19">
        <v>577.0</v>
      </c>
      <c r="K37" s="20">
        <v>6.828703703703704E-4</v>
      </c>
      <c r="L37" s="21">
        <v>0.3406</v>
      </c>
      <c r="M37" s="22"/>
      <c r="N37" s="22"/>
      <c r="O37" s="22"/>
      <c r="P37" s="23"/>
      <c r="Q37" s="24"/>
    </row>
    <row r="38">
      <c r="A38" s="70" t="s">
        <v>87</v>
      </c>
      <c r="B38" s="56">
        <v>45538.0</v>
      </c>
      <c r="C38" s="17" t="s">
        <v>88</v>
      </c>
      <c r="D38" s="18" t="s">
        <v>20</v>
      </c>
      <c r="E38" s="18" t="s">
        <v>24</v>
      </c>
      <c r="F38" s="18">
        <v>2539.0</v>
      </c>
      <c r="G38" s="18"/>
      <c r="H38" s="34">
        <v>391.0</v>
      </c>
      <c r="I38" s="34">
        <v>482.0</v>
      </c>
      <c r="J38" s="34">
        <v>571.0</v>
      </c>
      <c r="K38" s="20">
        <v>5.208333333333333E-4</v>
      </c>
      <c r="L38" s="21">
        <v>0.3361</v>
      </c>
      <c r="M38" s="42">
        <v>631.0</v>
      </c>
      <c r="N38" s="42">
        <v>777.0</v>
      </c>
      <c r="O38" s="42">
        <v>918.0</v>
      </c>
      <c r="P38" s="23">
        <v>5.787037037037037E-4</v>
      </c>
      <c r="Q38" s="24">
        <v>0.2638</v>
      </c>
    </row>
    <row r="39">
      <c r="A39" s="68"/>
      <c r="B39" s="69">
        <v>45964.0</v>
      </c>
      <c r="C39" s="32" t="s">
        <v>89</v>
      </c>
      <c r="D39" s="18" t="s">
        <v>20</v>
      </c>
      <c r="E39" s="18" t="s">
        <v>24</v>
      </c>
      <c r="F39" s="18">
        <v>1193.0</v>
      </c>
      <c r="G39" s="18"/>
      <c r="H39" s="19">
        <v>382.0</v>
      </c>
      <c r="I39" s="19">
        <v>493.0</v>
      </c>
      <c r="J39" s="19">
        <v>564.0</v>
      </c>
      <c r="K39" s="20">
        <v>4.050925925925926E-4</v>
      </c>
      <c r="L39" s="21">
        <v>0.3915</v>
      </c>
      <c r="M39" s="22"/>
      <c r="N39" s="22"/>
      <c r="O39" s="22"/>
      <c r="P39" s="23"/>
      <c r="Q39" s="24"/>
    </row>
    <row r="40">
      <c r="A40" s="70" t="s">
        <v>90</v>
      </c>
      <c r="B40" s="56">
        <v>45573.0</v>
      </c>
      <c r="C40" s="17" t="s">
        <v>91</v>
      </c>
      <c r="D40" s="18" t="s">
        <v>29</v>
      </c>
      <c r="E40" s="18" t="s">
        <v>24</v>
      </c>
      <c r="F40" s="18">
        <v>1417.0</v>
      </c>
      <c r="G40" s="18"/>
      <c r="H40" s="34">
        <v>381.0</v>
      </c>
      <c r="I40" s="34">
        <v>470.0</v>
      </c>
      <c r="J40" s="34">
        <v>563.0</v>
      </c>
      <c r="K40" s="20">
        <v>5.208333333333333E-4</v>
      </c>
      <c r="L40" s="21">
        <v>0.3596</v>
      </c>
      <c r="M40" s="42">
        <v>521.0</v>
      </c>
      <c r="N40" s="22">
        <v>666.0</v>
      </c>
      <c r="O40" s="22">
        <v>789.0</v>
      </c>
      <c r="P40" s="23">
        <v>5.787037037037037E-4</v>
      </c>
      <c r="Q40" s="24">
        <v>0.364</v>
      </c>
    </row>
    <row r="41">
      <c r="A41" s="68"/>
      <c r="B41" s="69">
        <v>45965.0</v>
      </c>
      <c r="C41" s="32" t="s">
        <v>92</v>
      </c>
      <c r="D41" s="18" t="s">
        <v>20</v>
      </c>
      <c r="E41" s="18" t="s">
        <v>21</v>
      </c>
      <c r="F41" s="18">
        <v>910.0</v>
      </c>
      <c r="G41" s="18"/>
      <c r="H41" s="19">
        <v>462.0</v>
      </c>
      <c r="I41" s="19">
        <v>501.0</v>
      </c>
      <c r="J41" s="19">
        <v>561.0</v>
      </c>
      <c r="K41" s="20">
        <v>4.976851851851852E-4</v>
      </c>
      <c r="L41" s="21">
        <v>0.3313</v>
      </c>
      <c r="M41" s="22"/>
      <c r="N41" s="22"/>
      <c r="O41" s="22"/>
      <c r="P41" s="23"/>
      <c r="Q41" s="24"/>
    </row>
    <row r="42">
      <c r="A42" s="71" t="s">
        <v>93</v>
      </c>
      <c r="B42" s="56">
        <v>45519.0</v>
      </c>
      <c r="C42" s="17" t="s">
        <v>94</v>
      </c>
      <c r="D42" s="18" t="s">
        <v>29</v>
      </c>
      <c r="E42" s="18" t="s">
        <v>24</v>
      </c>
      <c r="F42" s="18">
        <v>1162.0</v>
      </c>
      <c r="G42" s="18"/>
      <c r="H42" s="34">
        <v>436.0</v>
      </c>
      <c r="I42" s="34">
        <v>504.0</v>
      </c>
      <c r="J42" s="34">
        <v>560.0</v>
      </c>
      <c r="K42" s="20">
        <v>3.8194444444444446E-4</v>
      </c>
      <c r="L42" s="21">
        <v>0.3492</v>
      </c>
      <c r="M42" s="42">
        <v>577.0</v>
      </c>
      <c r="N42" s="42">
        <v>679.0</v>
      </c>
      <c r="O42" s="42">
        <v>748.0</v>
      </c>
      <c r="P42" s="23">
        <v>3.935185185185185E-4</v>
      </c>
      <c r="Q42" s="24">
        <v>0.2975</v>
      </c>
    </row>
    <row r="43">
      <c r="A43" s="65" t="s">
        <v>95</v>
      </c>
      <c r="B43" s="63">
        <v>45596.0</v>
      </c>
      <c r="C43" s="17" t="s">
        <v>96</v>
      </c>
      <c r="D43" s="18" t="s">
        <v>20</v>
      </c>
      <c r="E43" s="18" t="s">
        <v>21</v>
      </c>
      <c r="F43" s="18">
        <v>622.0</v>
      </c>
      <c r="G43" s="18"/>
      <c r="H43" s="34">
        <v>406.0</v>
      </c>
      <c r="I43" s="34">
        <v>483.0</v>
      </c>
      <c r="J43" s="34">
        <v>548.0</v>
      </c>
      <c r="K43" s="20">
        <v>2.314814814814815E-4</v>
      </c>
      <c r="L43" s="21">
        <v>0.4576</v>
      </c>
      <c r="M43" s="42">
        <v>441.0</v>
      </c>
      <c r="N43" s="42">
        <v>539.0</v>
      </c>
      <c r="O43" s="42">
        <v>606.0</v>
      </c>
      <c r="P43" s="23">
        <v>2.314814814814815E-4</v>
      </c>
      <c r="Q43" s="24">
        <v>0.4527</v>
      </c>
    </row>
    <row r="44">
      <c r="A44" s="71" t="s">
        <v>97</v>
      </c>
      <c r="B44" s="56">
        <v>45512.0</v>
      </c>
      <c r="C44" s="17" t="s">
        <v>98</v>
      </c>
      <c r="D44" s="18" t="s">
        <v>29</v>
      </c>
      <c r="E44" s="18" t="s">
        <v>24</v>
      </c>
      <c r="F44" s="18">
        <v>1203.0</v>
      </c>
      <c r="G44" s="18"/>
      <c r="H44" s="34">
        <v>400.0</v>
      </c>
      <c r="I44" s="34">
        <v>475.0</v>
      </c>
      <c r="J44" s="34">
        <v>531.0</v>
      </c>
      <c r="K44" s="20">
        <v>3.4722222222222224E-4</v>
      </c>
      <c r="L44" s="21">
        <v>0.3516</v>
      </c>
      <c r="M44" s="42">
        <v>600.0</v>
      </c>
      <c r="N44" s="42">
        <v>718.0</v>
      </c>
      <c r="O44" s="42">
        <v>802.0</v>
      </c>
      <c r="P44" s="23">
        <v>3.125E-4</v>
      </c>
      <c r="Q44" s="24">
        <v>0.4081</v>
      </c>
    </row>
    <row r="45">
      <c r="A45" s="72" t="s">
        <v>99</v>
      </c>
      <c r="B45" s="63">
        <v>45518.0</v>
      </c>
      <c r="C45" s="17" t="s">
        <v>100</v>
      </c>
      <c r="D45" s="18" t="s">
        <v>20</v>
      </c>
      <c r="E45" s="18" t="s">
        <v>24</v>
      </c>
      <c r="F45" s="18">
        <v>2006.0</v>
      </c>
      <c r="G45" s="18"/>
      <c r="H45" s="34">
        <v>388.0</v>
      </c>
      <c r="I45" s="34">
        <v>454.0</v>
      </c>
      <c r="J45" s="34">
        <v>526.0</v>
      </c>
      <c r="K45" s="20">
        <v>5.092592592592592E-4</v>
      </c>
      <c r="L45" s="21">
        <v>0.207</v>
      </c>
      <c r="M45" s="42">
        <v>525.0</v>
      </c>
      <c r="N45" s="42">
        <v>621.0</v>
      </c>
      <c r="O45" s="42">
        <v>703.0</v>
      </c>
      <c r="P45" s="23">
        <v>4.976851851851852E-4</v>
      </c>
      <c r="Q45" s="24">
        <v>0.1804</v>
      </c>
    </row>
    <row r="46">
      <c r="A46" s="73"/>
      <c r="B46" s="74">
        <v>45947.0</v>
      </c>
      <c r="C46" s="32" t="s">
        <v>101</v>
      </c>
      <c r="D46" s="18" t="s">
        <v>20</v>
      </c>
      <c r="E46" s="18" t="s">
        <v>21</v>
      </c>
      <c r="F46" s="18">
        <v>960.0</v>
      </c>
      <c r="G46" s="18"/>
      <c r="H46" s="19">
        <v>400.0</v>
      </c>
      <c r="I46" s="19">
        <v>473.0</v>
      </c>
      <c r="J46" s="19">
        <v>524.0</v>
      </c>
      <c r="K46" s="20">
        <v>3.587962962962963E-4</v>
      </c>
      <c r="L46" s="21">
        <v>0.4292</v>
      </c>
      <c r="M46" s="22"/>
      <c r="N46" s="22"/>
      <c r="O46" s="22"/>
      <c r="P46" s="23"/>
      <c r="Q46" s="24"/>
    </row>
    <row r="47">
      <c r="A47" s="65" t="s">
        <v>102</v>
      </c>
      <c r="B47" s="63">
        <v>45421.0</v>
      </c>
      <c r="C47" s="17" t="s">
        <v>103</v>
      </c>
      <c r="D47" s="18" t="s">
        <v>20</v>
      </c>
      <c r="E47" s="18" t="s">
        <v>21</v>
      </c>
      <c r="F47" s="18">
        <v>644.0</v>
      </c>
      <c r="G47" s="18"/>
      <c r="H47" s="34">
        <v>394.0</v>
      </c>
      <c r="I47" s="34">
        <v>451.0</v>
      </c>
      <c r="J47" s="34">
        <v>506.0</v>
      </c>
      <c r="K47" s="20">
        <v>3.4722222222222224E-4</v>
      </c>
      <c r="L47" s="21">
        <v>0.3348</v>
      </c>
      <c r="M47" s="42">
        <v>506.0</v>
      </c>
      <c r="N47" s="42">
        <v>606.0</v>
      </c>
      <c r="O47" s="42">
        <v>672.0</v>
      </c>
      <c r="P47" s="23">
        <v>3.4722222222222224E-4</v>
      </c>
      <c r="Q47" s="24">
        <v>0.33</v>
      </c>
    </row>
    <row r="48">
      <c r="A48" s="70" t="s">
        <v>104</v>
      </c>
      <c r="B48" s="56">
        <v>45749.0</v>
      </c>
      <c r="C48" s="17" t="s">
        <v>105</v>
      </c>
      <c r="D48" s="18" t="s">
        <v>20</v>
      </c>
      <c r="E48" s="18" t="s">
        <v>24</v>
      </c>
      <c r="F48" s="18">
        <v>1508.0</v>
      </c>
      <c r="G48" s="18"/>
      <c r="H48" s="34">
        <v>366.0</v>
      </c>
      <c r="I48" s="34">
        <v>447.0</v>
      </c>
      <c r="J48" s="34">
        <v>504.0</v>
      </c>
      <c r="K48" s="20">
        <v>6.365740740740741E-4</v>
      </c>
      <c r="L48" s="21">
        <v>0.349</v>
      </c>
      <c r="M48" s="42">
        <v>387.0</v>
      </c>
      <c r="N48" s="42">
        <v>447.0</v>
      </c>
      <c r="O48" s="22">
        <v>539.0</v>
      </c>
      <c r="P48" s="23">
        <v>6.134259259259259E-4</v>
      </c>
      <c r="Q48" s="24">
        <v>0.3417</v>
      </c>
    </row>
    <row r="49">
      <c r="A49" s="65" t="s">
        <v>106</v>
      </c>
      <c r="B49" s="63">
        <v>45765.0</v>
      </c>
      <c r="C49" s="17" t="s">
        <v>107</v>
      </c>
      <c r="D49" s="18" t="s">
        <v>20</v>
      </c>
      <c r="E49" s="18" t="s">
        <v>24</v>
      </c>
      <c r="F49" s="18">
        <v>2167.0</v>
      </c>
      <c r="G49" s="18"/>
      <c r="H49" s="19">
        <v>359.0</v>
      </c>
      <c r="I49" s="19">
        <v>458.0</v>
      </c>
      <c r="J49" s="19">
        <v>500.0</v>
      </c>
      <c r="K49" s="20">
        <v>3.0092592592592595E-4</v>
      </c>
      <c r="L49" s="21">
        <v>0.4323</v>
      </c>
      <c r="M49" s="22">
        <v>398.0</v>
      </c>
      <c r="N49" s="22">
        <v>510.0</v>
      </c>
      <c r="O49" s="22">
        <v>557.0</v>
      </c>
      <c r="P49" s="23">
        <v>3.0092592592592595E-4</v>
      </c>
      <c r="Q49" s="24">
        <v>0.4373</v>
      </c>
    </row>
    <row r="50">
      <c r="A50" s="70" t="s">
        <v>108</v>
      </c>
      <c r="B50" s="56">
        <v>45596.0</v>
      </c>
      <c r="C50" s="17" t="s">
        <v>109</v>
      </c>
      <c r="D50" s="18" t="s">
        <v>29</v>
      </c>
      <c r="E50" s="18" t="s">
        <v>24</v>
      </c>
      <c r="F50" s="18">
        <v>1224.0</v>
      </c>
      <c r="G50" s="18"/>
      <c r="H50" s="34">
        <v>452.0</v>
      </c>
      <c r="I50" s="34">
        <v>481.0</v>
      </c>
      <c r="J50" s="34">
        <v>496.0</v>
      </c>
      <c r="K50" s="20">
        <v>1.6203703703703703E-4</v>
      </c>
      <c r="L50" s="21"/>
      <c r="M50" s="42">
        <v>526.0</v>
      </c>
      <c r="N50" s="42">
        <v>575.0</v>
      </c>
      <c r="O50" s="22">
        <v>565.0</v>
      </c>
      <c r="P50" s="23">
        <v>1.1574074074074075E-4</v>
      </c>
      <c r="Q50" s="24"/>
    </row>
    <row r="51">
      <c r="A51" s="62" t="s">
        <v>110</v>
      </c>
      <c r="B51" s="63">
        <v>45810.0</v>
      </c>
      <c r="C51" s="17" t="s">
        <v>111</v>
      </c>
      <c r="D51" s="18" t="s">
        <v>20</v>
      </c>
      <c r="E51" s="18" t="s">
        <v>24</v>
      </c>
      <c r="F51" s="18">
        <v>1186.0</v>
      </c>
      <c r="G51" s="18"/>
      <c r="H51" s="34">
        <v>339.0</v>
      </c>
      <c r="I51" s="34">
        <v>433.0</v>
      </c>
      <c r="J51" s="34">
        <v>492.0</v>
      </c>
      <c r="K51" s="20">
        <v>4.5138888888888887E-4</v>
      </c>
      <c r="L51" s="21">
        <v>0.4573</v>
      </c>
      <c r="M51" s="42">
        <v>645.0</v>
      </c>
      <c r="N51" s="42">
        <v>849.0</v>
      </c>
      <c r="O51" s="42">
        <v>931.0</v>
      </c>
      <c r="P51" s="23">
        <v>4.861111111111111E-4</v>
      </c>
      <c r="Q51" s="24">
        <v>0.364</v>
      </c>
    </row>
    <row r="52">
      <c r="A52" s="55" t="s">
        <v>112</v>
      </c>
      <c r="B52" s="56">
        <v>45831.0</v>
      </c>
      <c r="C52" s="17" t="s">
        <v>113</v>
      </c>
      <c r="D52" s="18" t="s">
        <v>20</v>
      </c>
      <c r="E52" s="18" t="s">
        <v>21</v>
      </c>
      <c r="F52" s="18">
        <v>938.0</v>
      </c>
      <c r="G52" s="18"/>
      <c r="H52" s="34">
        <v>349.0</v>
      </c>
      <c r="I52" s="34">
        <v>443.0</v>
      </c>
      <c r="J52" s="34">
        <v>490.0</v>
      </c>
      <c r="K52" s="20">
        <v>3.8194444444444446E-4</v>
      </c>
      <c r="L52" s="21">
        <v>0.2731</v>
      </c>
      <c r="M52" s="42">
        <v>418.0</v>
      </c>
      <c r="N52" s="42">
        <v>528.0</v>
      </c>
      <c r="O52" s="42">
        <v>577.0</v>
      </c>
      <c r="P52" s="23">
        <v>3.4722222222222224E-4</v>
      </c>
      <c r="Q52" s="24">
        <v>0.2424</v>
      </c>
    </row>
    <row r="53">
      <c r="A53" s="65" t="s">
        <v>114</v>
      </c>
      <c r="B53" s="63">
        <v>45741.0</v>
      </c>
      <c r="C53" s="17" t="s">
        <v>115</v>
      </c>
      <c r="D53" s="18" t="s">
        <v>20</v>
      </c>
      <c r="E53" s="18" t="s">
        <v>21</v>
      </c>
      <c r="F53" s="18">
        <v>910.0</v>
      </c>
      <c r="G53" s="18"/>
      <c r="H53" s="19">
        <v>367.0</v>
      </c>
      <c r="I53" s="19">
        <v>427.0</v>
      </c>
      <c r="J53" s="19">
        <v>488.0</v>
      </c>
      <c r="K53" s="20">
        <v>5.092592592592592E-4</v>
      </c>
      <c r="L53" s="21">
        <v>0.3185</v>
      </c>
      <c r="M53" s="22">
        <v>411.0</v>
      </c>
      <c r="N53" s="22">
        <v>484.0</v>
      </c>
      <c r="O53" s="22">
        <v>557.0</v>
      </c>
      <c r="P53" s="23">
        <v>4.861111111111111E-4</v>
      </c>
      <c r="Q53" s="24">
        <v>0.3161</v>
      </c>
    </row>
    <row r="54">
      <c r="A54" s="70" t="s">
        <v>116</v>
      </c>
      <c r="B54" s="56">
        <v>45593.0</v>
      </c>
      <c r="C54" s="17" t="s">
        <v>117</v>
      </c>
      <c r="D54" s="18" t="s">
        <v>20</v>
      </c>
      <c r="E54" s="18" t="s">
        <v>24</v>
      </c>
      <c r="F54" s="18">
        <v>1145.0</v>
      </c>
      <c r="G54" s="18"/>
      <c r="H54" s="34">
        <v>324.0</v>
      </c>
      <c r="I54" s="34">
        <v>397.0</v>
      </c>
      <c r="J54" s="34">
        <v>482.0</v>
      </c>
      <c r="K54" s="20">
        <v>3.7037037037037035E-4</v>
      </c>
      <c r="L54" s="21">
        <v>0.2695</v>
      </c>
      <c r="M54" s="42">
        <v>341.0</v>
      </c>
      <c r="N54" s="42">
        <v>416.0</v>
      </c>
      <c r="O54" s="42">
        <v>501.0</v>
      </c>
      <c r="P54" s="23">
        <v>3.8194444444444446E-4</v>
      </c>
      <c r="Q54" s="24">
        <v>0.2716</v>
      </c>
    </row>
    <row r="55">
      <c r="A55" s="75" t="s">
        <v>118</v>
      </c>
      <c r="B55" s="69">
        <v>45890.0</v>
      </c>
      <c r="C55" s="32" t="s">
        <v>119</v>
      </c>
      <c r="D55" s="18" t="s">
        <v>20</v>
      </c>
      <c r="E55" s="18" t="s">
        <v>24</v>
      </c>
      <c r="F55" s="18">
        <v>1184.0</v>
      </c>
      <c r="G55" s="18"/>
      <c r="H55" s="34">
        <v>386.0</v>
      </c>
      <c r="I55" s="34">
        <v>426.0</v>
      </c>
      <c r="J55" s="34">
        <v>473.0</v>
      </c>
      <c r="K55" s="20">
        <v>8.912037037037037E-4</v>
      </c>
      <c r="L55" s="21">
        <v>0.2927</v>
      </c>
      <c r="M55" s="22">
        <v>1381.0</v>
      </c>
      <c r="N55" s="22">
        <v>1605.0</v>
      </c>
      <c r="O55" s="22">
        <v>1703.0</v>
      </c>
      <c r="P55" s="23">
        <v>5.671296296296297E-4</v>
      </c>
      <c r="Q55" s="24">
        <v>0.504</v>
      </c>
    </row>
    <row r="56">
      <c r="A56" s="73" t="s">
        <v>120</v>
      </c>
      <c r="B56" s="56">
        <v>45895.0</v>
      </c>
      <c r="C56" s="32" t="s">
        <v>121</v>
      </c>
      <c r="D56" s="18" t="s">
        <v>20</v>
      </c>
      <c r="E56" s="18" t="s">
        <v>21</v>
      </c>
      <c r="F56" s="18">
        <v>449.0</v>
      </c>
      <c r="G56" s="18"/>
      <c r="H56" s="34">
        <v>340.0</v>
      </c>
      <c r="I56" s="34">
        <v>400.0</v>
      </c>
      <c r="J56" s="34">
        <v>462.0</v>
      </c>
      <c r="K56" s="20">
        <v>6.365740740740741E-4</v>
      </c>
      <c r="L56" s="21">
        <v>0.3325</v>
      </c>
      <c r="M56" s="42">
        <v>666.0</v>
      </c>
      <c r="N56" s="42">
        <v>876.0</v>
      </c>
      <c r="O56" s="22">
        <v>1014.0</v>
      </c>
      <c r="P56" s="23">
        <v>5.092592592592592E-4</v>
      </c>
      <c r="Q56" s="24">
        <v>0.4007</v>
      </c>
    </row>
    <row r="57">
      <c r="A57" s="68"/>
      <c r="B57" s="69">
        <v>45924.0</v>
      </c>
      <c r="C57" s="32" t="s">
        <v>122</v>
      </c>
      <c r="D57" s="18" t="s">
        <v>20</v>
      </c>
      <c r="E57" s="18" t="s">
        <v>21</v>
      </c>
      <c r="F57" s="18">
        <v>479.0</v>
      </c>
      <c r="G57" s="18"/>
      <c r="H57" s="19">
        <v>373.0</v>
      </c>
      <c r="I57" s="19">
        <v>410.0</v>
      </c>
      <c r="J57" s="19">
        <v>456.0</v>
      </c>
      <c r="K57" s="20">
        <v>3.2407407407407406E-4</v>
      </c>
      <c r="L57" s="21">
        <v>0.4341</v>
      </c>
      <c r="M57" s="22"/>
      <c r="N57" s="22"/>
      <c r="O57" s="22"/>
      <c r="P57" s="23"/>
      <c r="Q57" s="24"/>
    </row>
    <row r="58">
      <c r="A58" s="70" t="s">
        <v>123</v>
      </c>
      <c r="B58" s="56">
        <v>45705.0</v>
      </c>
      <c r="C58" s="17" t="s">
        <v>124</v>
      </c>
      <c r="D58" s="18" t="s">
        <v>20</v>
      </c>
      <c r="E58" s="18" t="s">
        <v>21</v>
      </c>
      <c r="F58" s="18">
        <v>906.0</v>
      </c>
      <c r="G58" s="18"/>
      <c r="H58" s="34">
        <v>341.0</v>
      </c>
      <c r="I58" s="34">
        <v>399.0</v>
      </c>
      <c r="J58" s="34">
        <v>450.0</v>
      </c>
      <c r="K58" s="20">
        <v>5.324074074074074E-4</v>
      </c>
      <c r="L58" s="21">
        <v>0.3835</v>
      </c>
      <c r="M58" s="42">
        <v>369.0</v>
      </c>
      <c r="N58" s="42">
        <v>430.0</v>
      </c>
      <c r="O58" s="42">
        <v>484.0</v>
      </c>
      <c r="P58" s="23">
        <v>5.208333333333333E-4</v>
      </c>
      <c r="Q58" s="24">
        <v>0.3814</v>
      </c>
    </row>
    <row r="59">
      <c r="A59" s="65" t="s">
        <v>125</v>
      </c>
      <c r="B59" s="63">
        <v>45709.0</v>
      </c>
      <c r="C59" s="17" t="s">
        <v>126</v>
      </c>
      <c r="D59" s="18" t="s">
        <v>20</v>
      </c>
      <c r="E59" s="18" t="s">
        <v>21</v>
      </c>
      <c r="F59" s="18">
        <v>938.0</v>
      </c>
      <c r="G59" s="18"/>
      <c r="H59" s="34">
        <v>329.0</v>
      </c>
      <c r="I59" s="34">
        <v>398.0</v>
      </c>
      <c r="J59" s="34">
        <v>438.0</v>
      </c>
      <c r="K59" s="20">
        <v>4.5138888888888887E-4</v>
      </c>
      <c r="L59" s="21">
        <v>0.3116</v>
      </c>
      <c r="M59" s="42">
        <v>404.0</v>
      </c>
      <c r="N59" s="42">
        <v>488.0</v>
      </c>
      <c r="O59" s="42">
        <v>545.0</v>
      </c>
      <c r="P59" s="23">
        <v>4.398148148148148E-4</v>
      </c>
      <c r="Q59" s="24">
        <v>0.3033</v>
      </c>
    </row>
    <row r="60">
      <c r="A60" s="76" t="s">
        <v>127</v>
      </c>
      <c r="B60" s="56">
        <v>45779.0</v>
      </c>
      <c r="C60" s="17" t="s">
        <v>128</v>
      </c>
      <c r="D60" s="18" t="s">
        <v>20</v>
      </c>
      <c r="E60" s="18" t="s">
        <v>21</v>
      </c>
      <c r="F60" s="18">
        <v>908.0</v>
      </c>
      <c r="G60" s="18"/>
      <c r="H60" s="34">
        <v>278.0</v>
      </c>
      <c r="I60" s="34">
        <v>394.0</v>
      </c>
      <c r="J60" s="34">
        <v>437.0</v>
      </c>
      <c r="K60" s="20">
        <v>5.555555555555556E-4</v>
      </c>
      <c r="L60" s="21">
        <v>0.4624</v>
      </c>
      <c r="M60" s="42">
        <v>308.0</v>
      </c>
      <c r="N60" s="22">
        <v>433.0</v>
      </c>
      <c r="O60" s="22">
        <v>482.0</v>
      </c>
      <c r="P60" s="23">
        <v>5.555555555555556E-4</v>
      </c>
      <c r="Q60" s="24">
        <v>0.5651</v>
      </c>
    </row>
    <row r="61">
      <c r="A61" s="65" t="s">
        <v>129</v>
      </c>
      <c r="B61" s="63">
        <v>45518.0</v>
      </c>
      <c r="C61" s="17" t="s">
        <v>130</v>
      </c>
      <c r="D61" s="18" t="s">
        <v>29</v>
      </c>
      <c r="E61" s="18" t="s">
        <v>21</v>
      </c>
      <c r="F61" s="18">
        <v>614.0</v>
      </c>
      <c r="G61" s="18"/>
      <c r="H61" s="34">
        <v>362.0</v>
      </c>
      <c r="I61" s="34">
        <v>393.0</v>
      </c>
      <c r="J61" s="34">
        <v>426.0</v>
      </c>
      <c r="K61" s="66">
        <v>2.0833333333333335E-4</v>
      </c>
      <c r="L61" s="21">
        <v>0.3486</v>
      </c>
      <c r="M61" s="42">
        <v>451.0</v>
      </c>
      <c r="N61" s="42">
        <v>490.0</v>
      </c>
      <c r="O61" s="42">
        <v>529.0</v>
      </c>
      <c r="P61" s="77">
        <v>2.199074074074074E-4</v>
      </c>
      <c r="Q61" s="24">
        <v>0.2898</v>
      </c>
    </row>
    <row r="62">
      <c r="A62" s="70" t="s">
        <v>131</v>
      </c>
      <c r="B62" s="56">
        <v>45589.0</v>
      </c>
      <c r="C62" s="17" t="s">
        <v>132</v>
      </c>
      <c r="D62" s="18" t="s">
        <v>29</v>
      </c>
      <c r="E62" s="18" t="s">
        <v>21</v>
      </c>
      <c r="F62" s="18">
        <v>941.0</v>
      </c>
      <c r="G62" s="18"/>
      <c r="H62" s="34">
        <v>350.0</v>
      </c>
      <c r="I62" s="34">
        <v>382.0</v>
      </c>
      <c r="J62" s="34">
        <v>420.0</v>
      </c>
      <c r="K62" s="20">
        <v>2.8935185185185184E-4</v>
      </c>
      <c r="L62" s="21">
        <v>0.4058</v>
      </c>
      <c r="M62" s="42">
        <v>412.0</v>
      </c>
      <c r="N62" s="42">
        <v>457.0</v>
      </c>
      <c r="O62" s="42">
        <v>505.0</v>
      </c>
      <c r="P62" s="23">
        <v>2.8935185185185184E-4</v>
      </c>
      <c r="Q62" s="24">
        <v>0.3698</v>
      </c>
    </row>
    <row r="63">
      <c r="A63" s="75" t="s">
        <v>133</v>
      </c>
      <c r="B63" s="63">
        <v>45786.0</v>
      </c>
      <c r="C63" s="17" t="s">
        <v>134</v>
      </c>
      <c r="D63" s="18" t="s">
        <v>29</v>
      </c>
      <c r="E63" s="18" t="s">
        <v>21</v>
      </c>
      <c r="F63" s="18">
        <v>823.0</v>
      </c>
      <c r="G63" s="18"/>
      <c r="H63" s="34">
        <v>300.0</v>
      </c>
      <c r="I63" s="34">
        <v>349.0</v>
      </c>
      <c r="J63" s="34">
        <v>404.0</v>
      </c>
      <c r="K63" s="20">
        <v>5.439814814814814E-4</v>
      </c>
      <c r="L63" s="21">
        <v>0.4585</v>
      </c>
      <c r="M63" s="42">
        <v>343.0</v>
      </c>
      <c r="N63" s="42">
        <v>403.0</v>
      </c>
      <c r="O63" s="42">
        <v>461.0</v>
      </c>
      <c r="P63" s="23">
        <v>5.324074074074074E-4</v>
      </c>
      <c r="Q63" s="24">
        <v>0.4467</v>
      </c>
    </row>
    <row r="64">
      <c r="A64" s="70" t="s">
        <v>135</v>
      </c>
      <c r="B64" s="56">
        <v>45740.0</v>
      </c>
      <c r="C64" s="17" t="s">
        <v>136</v>
      </c>
      <c r="D64" s="18" t="s">
        <v>20</v>
      </c>
      <c r="E64" s="18" t="s">
        <v>21</v>
      </c>
      <c r="F64" s="18">
        <v>771.0</v>
      </c>
      <c r="G64" s="18"/>
      <c r="H64" s="34">
        <v>300.0</v>
      </c>
      <c r="I64" s="34">
        <v>342.0</v>
      </c>
      <c r="J64" s="34">
        <v>398.0</v>
      </c>
      <c r="K64" s="20">
        <v>3.935185185185185E-4</v>
      </c>
      <c r="L64" s="21">
        <v>0.4503</v>
      </c>
      <c r="M64" s="42">
        <v>324.0</v>
      </c>
      <c r="N64" s="42">
        <v>370.0</v>
      </c>
      <c r="O64" s="42">
        <v>428.0</v>
      </c>
      <c r="P64" s="23">
        <v>4.050925925925926E-4</v>
      </c>
      <c r="Q64" s="24">
        <v>0.4405</v>
      </c>
    </row>
    <row r="65">
      <c r="A65" s="65" t="s">
        <v>137</v>
      </c>
      <c r="B65" s="63">
        <v>45512.0</v>
      </c>
      <c r="C65" s="17" t="s">
        <v>138</v>
      </c>
      <c r="D65" s="18" t="s">
        <v>29</v>
      </c>
      <c r="E65" s="18" t="s">
        <v>21</v>
      </c>
      <c r="F65" s="18">
        <v>390.0</v>
      </c>
      <c r="G65" s="18"/>
      <c r="H65" s="34">
        <v>311.0</v>
      </c>
      <c r="I65" s="34">
        <v>340.0</v>
      </c>
      <c r="J65" s="34">
        <v>391.0</v>
      </c>
      <c r="K65" s="20">
        <v>1.9675925925925926E-4</v>
      </c>
      <c r="L65" s="21">
        <v>0.2471</v>
      </c>
      <c r="M65" s="42">
        <v>369.0</v>
      </c>
      <c r="N65" s="42">
        <v>406.0</v>
      </c>
      <c r="O65" s="42">
        <v>466.0</v>
      </c>
      <c r="P65" s="23">
        <v>1.8518518518518518E-4</v>
      </c>
      <c r="Q65" s="24">
        <v>0.2512</v>
      </c>
    </row>
    <row r="66">
      <c r="A66" s="70" t="s">
        <v>139</v>
      </c>
      <c r="B66" s="56">
        <v>45401.0</v>
      </c>
      <c r="C66" s="17" t="s">
        <v>140</v>
      </c>
      <c r="D66" s="18" t="s">
        <v>20</v>
      </c>
      <c r="E66" s="18" t="s">
        <v>21</v>
      </c>
      <c r="F66" s="18">
        <v>764.0</v>
      </c>
      <c r="G66" s="18"/>
      <c r="H66" s="34">
        <v>298.0</v>
      </c>
      <c r="I66" s="34">
        <v>345.0</v>
      </c>
      <c r="J66" s="34">
        <v>390.0</v>
      </c>
      <c r="K66" s="20">
        <v>3.0092592592592595E-4</v>
      </c>
      <c r="L66" s="21"/>
      <c r="M66" s="42">
        <v>386.0</v>
      </c>
      <c r="N66" s="42">
        <v>441.0</v>
      </c>
      <c r="O66" s="42">
        <v>492.0</v>
      </c>
      <c r="P66" s="23">
        <v>2.662037037037037E-4</v>
      </c>
      <c r="Q66" s="24"/>
    </row>
    <row r="67">
      <c r="A67" s="68"/>
      <c r="B67" s="69">
        <v>45925.0</v>
      </c>
      <c r="C67" s="32" t="s">
        <v>141</v>
      </c>
      <c r="D67" s="18" t="s">
        <v>20</v>
      </c>
      <c r="E67" s="18" t="s">
        <v>24</v>
      </c>
      <c r="F67" s="18">
        <v>1054.0</v>
      </c>
      <c r="G67" s="18"/>
      <c r="H67" s="19">
        <v>243.0</v>
      </c>
      <c r="I67" s="19">
        <v>306.0</v>
      </c>
      <c r="J67" s="19">
        <v>385.0</v>
      </c>
      <c r="K67" s="20">
        <v>2.8935185185185184E-4</v>
      </c>
      <c r="L67" s="21">
        <v>0.3725</v>
      </c>
      <c r="M67" s="22"/>
      <c r="N67" s="22"/>
      <c r="O67" s="22"/>
      <c r="P67" s="23"/>
      <c r="Q67" s="24"/>
    </row>
    <row r="68">
      <c r="A68" s="78" t="s">
        <v>142</v>
      </c>
      <c r="B68" s="56">
        <v>45870.0</v>
      </c>
      <c r="C68" s="32" t="s">
        <v>143</v>
      </c>
      <c r="D68" s="18" t="s">
        <v>29</v>
      </c>
      <c r="E68" s="18" t="s">
        <v>21</v>
      </c>
      <c r="F68" s="18">
        <v>428.0</v>
      </c>
      <c r="G68" s="18"/>
      <c r="H68" s="34">
        <v>287.0</v>
      </c>
      <c r="I68" s="34">
        <v>339.0</v>
      </c>
      <c r="J68" s="34">
        <v>381.0</v>
      </c>
      <c r="K68" s="20">
        <v>3.125E-4</v>
      </c>
      <c r="L68" s="21">
        <v>0.3038</v>
      </c>
      <c r="M68" s="42">
        <v>320.0</v>
      </c>
      <c r="N68" s="42">
        <v>383.0</v>
      </c>
      <c r="O68" s="42">
        <v>439.0</v>
      </c>
      <c r="P68" s="23">
        <v>3.125E-4</v>
      </c>
      <c r="Q68" s="24">
        <v>0.3029</v>
      </c>
    </row>
    <row r="69">
      <c r="A69" s="65" t="s">
        <v>144</v>
      </c>
      <c r="B69" s="63">
        <v>45565.0</v>
      </c>
      <c r="C69" s="17" t="s">
        <v>145</v>
      </c>
      <c r="D69" s="18" t="s">
        <v>29</v>
      </c>
      <c r="E69" s="18" t="s">
        <v>21</v>
      </c>
      <c r="F69" s="18">
        <v>707.0</v>
      </c>
      <c r="G69" s="18"/>
      <c r="H69" s="34">
        <v>309.0</v>
      </c>
      <c r="I69" s="34">
        <v>336.0</v>
      </c>
      <c r="J69" s="34">
        <v>373.0</v>
      </c>
      <c r="K69" s="20">
        <v>3.935185185185185E-4</v>
      </c>
      <c r="L69" s="21">
        <v>0.4286</v>
      </c>
      <c r="M69" s="42">
        <v>321.0</v>
      </c>
      <c r="N69" s="42">
        <v>352.0</v>
      </c>
      <c r="O69" s="42">
        <v>389.0</v>
      </c>
      <c r="P69" s="23">
        <v>4.050925925925926E-4</v>
      </c>
      <c r="Q69" s="24">
        <v>0.4261</v>
      </c>
    </row>
    <row r="70">
      <c r="A70" s="70" t="s">
        <v>146</v>
      </c>
      <c r="B70" s="56">
        <v>45419.0</v>
      </c>
      <c r="C70" s="17" t="s">
        <v>147</v>
      </c>
      <c r="D70" s="18" t="s">
        <v>20</v>
      </c>
      <c r="E70" s="18" t="s">
        <v>24</v>
      </c>
      <c r="F70" s="18">
        <v>1603.0</v>
      </c>
      <c r="G70" s="18"/>
      <c r="H70" s="34">
        <v>309.0</v>
      </c>
      <c r="I70" s="34">
        <v>335.0</v>
      </c>
      <c r="J70" s="34">
        <v>371.0</v>
      </c>
      <c r="K70" s="20">
        <v>4.62962962962963E-4</v>
      </c>
      <c r="L70" s="21">
        <v>0.2836</v>
      </c>
      <c r="M70" s="42">
        <v>338.0</v>
      </c>
      <c r="N70" s="42">
        <v>368.0</v>
      </c>
      <c r="O70" s="42">
        <v>410.0</v>
      </c>
      <c r="P70" s="23">
        <v>5.092592592592592E-4</v>
      </c>
      <c r="Q70" s="24">
        <v>0.269</v>
      </c>
    </row>
    <row r="71">
      <c r="A71" s="65" t="s">
        <v>148</v>
      </c>
      <c r="B71" s="63">
        <v>45778.0</v>
      </c>
      <c r="C71" s="17" t="s">
        <v>149</v>
      </c>
      <c r="D71" s="18" t="s">
        <v>20</v>
      </c>
      <c r="E71" s="18" t="s">
        <v>21</v>
      </c>
      <c r="F71" s="18">
        <v>896.0</v>
      </c>
      <c r="G71" s="18"/>
      <c r="H71" s="34">
        <v>241.0</v>
      </c>
      <c r="I71" s="34">
        <v>313.0</v>
      </c>
      <c r="J71" s="34">
        <v>367.0</v>
      </c>
      <c r="K71" s="20">
        <v>5.902777777777778E-4</v>
      </c>
      <c r="L71" s="79"/>
      <c r="M71" s="42">
        <v>286.0</v>
      </c>
      <c r="N71" s="42">
        <v>372.0</v>
      </c>
      <c r="O71" s="42">
        <v>429.0</v>
      </c>
      <c r="P71" s="23">
        <v>5.787037037037037E-4</v>
      </c>
      <c r="Q71" s="80"/>
    </row>
    <row r="72">
      <c r="A72" s="70" t="s">
        <v>150</v>
      </c>
      <c r="B72" s="56">
        <v>45736.0</v>
      </c>
      <c r="C72" s="17" t="s">
        <v>151</v>
      </c>
      <c r="D72" s="18" t="s">
        <v>20</v>
      </c>
      <c r="E72" s="18" t="s">
        <v>21</v>
      </c>
      <c r="F72" s="18">
        <v>1752.0</v>
      </c>
      <c r="G72" s="18"/>
      <c r="H72" s="34">
        <v>284.0</v>
      </c>
      <c r="I72" s="34">
        <v>335.0</v>
      </c>
      <c r="J72" s="34">
        <v>366.0</v>
      </c>
      <c r="K72" s="20">
        <v>3.356481481481481E-4</v>
      </c>
      <c r="L72" s="21">
        <v>0.4716</v>
      </c>
      <c r="M72" s="42">
        <v>314.0</v>
      </c>
      <c r="N72" s="42">
        <v>388.0</v>
      </c>
      <c r="O72" s="42">
        <v>420.0</v>
      </c>
      <c r="P72" s="23">
        <v>3.0092592592592595E-4</v>
      </c>
      <c r="Q72" s="24">
        <v>0.4433</v>
      </c>
    </row>
    <row r="73">
      <c r="A73" s="68"/>
      <c r="B73" s="69">
        <v>45940.0</v>
      </c>
      <c r="C73" s="32" t="s">
        <v>152</v>
      </c>
      <c r="D73" s="18" t="s">
        <v>20</v>
      </c>
      <c r="E73" s="18" t="s">
        <v>21</v>
      </c>
      <c r="F73" s="18">
        <v>774.0</v>
      </c>
      <c r="G73" s="18"/>
      <c r="H73" s="19">
        <v>252.0</v>
      </c>
      <c r="I73" s="19">
        <v>328.0</v>
      </c>
      <c r="J73" s="19">
        <v>365.0</v>
      </c>
      <c r="K73" s="20">
        <v>3.8194444444444446E-4</v>
      </c>
      <c r="L73" s="21">
        <v>0.3401</v>
      </c>
      <c r="M73" s="22"/>
      <c r="N73" s="22"/>
      <c r="O73" s="22"/>
      <c r="P73" s="23"/>
      <c r="Q73" s="24"/>
    </row>
    <row r="74">
      <c r="A74" s="70" t="s">
        <v>153</v>
      </c>
      <c r="B74" s="56">
        <v>45628.0</v>
      </c>
      <c r="C74" s="17" t="s">
        <v>154</v>
      </c>
      <c r="D74" s="18" t="s">
        <v>29</v>
      </c>
      <c r="E74" s="18" t="s">
        <v>24</v>
      </c>
      <c r="F74" s="18">
        <v>1572.0</v>
      </c>
      <c r="G74" s="18"/>
      <c r="H74" s="34">
        <v>300.0</v>
      </c>
      <c r="I74" s="34">
        <v>326.0</v>
      </c>
      <c r="J74" s="34">
        <v>361.0</v>
      </c>
      <c r="K74" s="20">
        <v>2.8935185185185184E-4</v>
      </c>
      <c r="L74" s="21">
        <v>0.5399</v>
      </c>
      <c r="M74" s="42">
        <v>352.0</v>
      </c>
      <c r="N74" s="42">
        <v>400.0</v>
      </c>
      <c r="O74" s="42">
        <v>447.0</v>
      </c>
      <c r="P74" s="23">
        <v>3.4722222222222224E-4</v>
      </c>
      <c r="Q74" s="24">
        <v>0.485</v>
      </c>
    </row>
    <row r="75">
      <c r="A75" s="65" t="s">
        <v>155</v>
      </c>
      <c r="B75" s="63">
        <v>45411.0</v>
      </c>
      <c r="C75" s="17" t="s">
        <v>156</v>
      </c>
      <c r="D75" s="18" t="s">
        <v>20</v>
      </c>
      <c r="E75" s="18" t="s">
        <v>24</v>
      </c>
      <c r="F75" s="18">
        <v>1333.0</v>
      </c>
      <c r="G75" s="18"/>
      <c r="H75" s="34">
        <v>273.0</v>
      </c>
      <c r="I75" s="34">
        <v>345.0</v>
      </c>
      <c r="J75" s="34">
        <v>361.0</v>
      </c>
      <c r="K75" s="20">
        <v>6.134259259259259E-4</v>
      </c>
      <c r="L75" s="79"/>
      <c r="M75" s="42">
        <v>291.0</v>
      </c>
      <c r="N75" s="42">
        <v>365.0</v>
      </c>
      <c r="O75" s="42">
        <v>384.0</v>
      </c>
      <c r="P75" s="23">
        <v>7.060185185185185E-4</v>
      </c>
      <c r="Q75" s="80"/>
    </row>
    <row r="76">
      <c r="A76" s="78" t="s">
        <v>157</v>
      </c>
      <c r="B76" s="56">
        <v>45894.0</v>
      </c>
      <c r="C76" s="32" t="s">
        <v>158</v>
      </c>
      <c r="D76" s="18" t="s">
        <v>20</v>
      </c>
      <c r="E76" s="18" t="s">
        <v>21</v>
      </c>
      <c r="F76" s="18">
        <v>820.0</v>
      </c>
      <c r="G76" s="18"/>
      <c r="H76" s="34">
        <v>294.0</v>
      </c>
      <c r="I76" s="34">
        <v>317.0</v>
      </c>
      <c r="J76" s="34">
        <v>351.0</v>
      </c>
      <c r="K76" s="20">
        <v>3.587962962962963E-4</v>
      </c>
      <c r="L76" s="21">
        <v>0.571</v>
      </c>
      <c r="M76" s="22">
        <v>1297.0</v>
      </c>
      <c r="N76" s="22">
        <v>1540.0</v>
      </c>
      <c r="O76" s="22">
        <v>1702.0</v>
      </c>
      <c r="P76" s="23">
        <v>3.935185185185185E-4</v>
      </c>
      <c r="Q76" s="24">
        <v>0.5299</v>
      </c>
    </row>
    <row r="77">
      <c r="A77" s="68"/>
      <c r="B77" s="69">
        <v>45936.0</v>
      </c>
      <c r="C77" s="32" t="s">
        <v>159</v>
      </c>
      <c r="D77" s="18" t="s">
        <v>20</v>
      </c>
      <c r="E77" s="18" t="s">
        <v>21</v>
      </c>
      <c r="F77" s="18">
        <v>762.0</v>
      </c>
      <c r="G77" s="18"/>
      <c r="H77" s="19">
        <v>282.0</v>
      </c>
      <c r="I77" s="19">
        <v>310.0</v>
      </c>
      <c r="J77" s="19">
        <v>346.0</v>
      </c>
      <c r="K77" s="20">
        <v>1.9675925925925926E-4</v>
      </c>
      <c r="L77" s="21">
        <v>0.429</v>
      </c>
      <c r="M77" s="22">
        <v>305.0</v>
      </c>
      <c r="N77" s="22">
        <v>336.0</v>
      </c>
      <c r="O77" s="22">
        <v>374.0</v>
      </c>
      <c r="P77" s="23">
        <v>1.9675925925925926E-4</v>
      </c>
      <c r="Q77" s="24">
        <v>0.4196</v>
      </c>
    </row>
    <row r="78">
      <c r="A78" s="73"/>
      <c r="B78" s="74">
        <v>45929.0</v>
      </c>
      <c r="C78" s="32" t="s">
        <v>160</v>
      </c>
      <c r="D78" s="18" t="s">
        <v>20</v>
      </c>
      <c r="E78" s="18" t="s">
        <v>24</v>
      </c>
      <c r="F78" s="18">
        <v>1034.0</v>
      </c>
      <c r="G78" s="18"/>
      <c r="H78" s="19">
        <v>260.0</v>
      </c>
      <c r="I78" s="19">
        <v>308.0</v>
      </c>
      <c r="J78" s="19">
        <v>343.0</v>
      </c>
      <c r="K78" s="20">
        <v>4.166666666666667E-4</v>
      </c>
      <c r="L78" s="21">
        <v>0.2987</v>
      </c>
      <c r="M78" s="22">
        <v>314.0</v>
      </c>
      <c r="N78" s="22">
        <v>374.0</v>
      </c>
      <c r="O78" s="22">
        <v>414.0</v>
      </c>
      <c r="P78" s="23">
        <v>3.935185185185185E-4</v>
      </c>
      <c r="Q78" s="24">
        <v>0.3262</v>
      </c>
    </row>
    <row r="79">
      <c r="A79" s="81" t="s">
        <v>161</v>
      </c>
      <c r="B79" s="63">
        <v>45820.0</v>
      </c>
      <c r="C79" s="17" t="s">
        <v>162</v>
      </c>
      <c r="D79" s="18" t="s">
        <v>20</v>
      </c>
      <c r="E79" s="18" t="s">
        <v>24</v>
      </c>
      <c r="F79" s="18">
        <v>1117.0</v>
      </c>
      <c r="G79" s="18"/>
      <c r="H79" s="34">
        <v>248.0</v>
      </c>
      <c r="I79" s="34">
        <v>288.0</v>
      </c>
      <c r="J79" s="34">
        <v>327.0</v>
      </c>
      <c r="K79" s="20">
        <v>6.25E-4</v>
      </c>
      <c r="L79" s="21">
        <v>0.2951</v>
      </c>
      <c r="M79" s="42">
        <v>250.0</v>
      </c>
      <c r="N79" s="42">
        <v>292.0</v>
      </c>
      <c r="O79" s="42">
        <v>331.0</v>
      </c>
      <c r="P79" s="23">
        <v>6.25E-4</v>
      </c>
      <c r="Q79" s="24">
        <v>0.2945</v>
      </c>
    </row>
    <row r="80">
      <c r="A80" s="70" t="s">
        <v>163</v>
      </c>
      <c r="B80" s="56">
        <v>45778.0</v>
      </c>
      <c r="C80" s="17" t="s">
        <v>164</v>
      </c>
      <c r="D80" s="18" t="s">
        <v>20</v>
      </c>
      <c r="E80" s="18" t="s">
        <v>21</v>
      </c>
      <c r="F80" s="18">
        <v>843.0</v>
      </c>
      <c r="G80" s="18"/>
      <c r="H80" s="34">
        <v>217.0</v>
      </c>
      <c r="I80" s="34">
        <v>290.0</v>
      </c>
      <c r="J80" s="34">
        <v>311.0</v>
      </c>
      <c r="K80" s="20">
        <v>6.018518518518519E-4</v>
      </c>
      <c r="L80" s="79"/>
      <c r="M80" s="42">
        <v>244.0</v>
      </c>
      <c r="N80" s="42">
        <v>329.0</v>
      </c>
      <c r="O80" s="42">
        <v>347.0</v>
      </c>
      <c r="P80" s="23">
        <v>5.671296296296297E-4</v>
      </c>
      <c r="Q80" s="80"/>
    </row>
    <row r="81">
      <c r="A81" s="65" t="s">
        <v>165</v>
      </c>
      <c r="B81" s="63">
        <v>45593.0</v>
      </c>
      <c r="C81" s="17" t="s">
        <v>166</v>
      </c>
      <c r="D81" s="18" t="s">
        <v>20</v>
      </c>
      <c r="E81" s="18" t="s">
        <v>21</v>
      </c>
      <c r="F81" s="18">
        <v>815.0</v>
      </c>
      <c r="G81" s="18"/>
      <c r="H81" s="34">
        <v>236.0</v>
      </c>
      <c r="I81" s="34">
        <v>271.0</v>
      </c>
      <c r="J81" s="34">
        <v>303.0</v>
      </c>
      <c r="K81" s="20">
        <v>2.8935185185185184E-4</v>
      </c>
      <c r="L81" s="21">
        <v>0.3542</v>
      </c>
      <c r="M81" s="42">
        <v>257.0</v>
      </c>
      <c r="N81" s="42">
        <v>302.0</v>
      </c>
      <c r="O81" s="42">
        <v>336.0</v>
      </c>
      <c r="P81" s="23">
        <v>2.8935185185185184E-4</v>
      </c>
      <c r="Q81" s="24">
        <v>0.3344</v>
      </c>
    </row>
    <row r="82">
      <c r="A82" s="70" t="s">
        <v>167</v>
      </c>
      <c r="B82" s="56">
        <v>45420.0</v>
      </c>
      <c r="C82" s="17" t="s">
        <v>168</v>
      </c>
      <c r="D82" s="18" t="s">
        <v>20</v>
      </c>
      <c r="E82" s="18" t="s">
        <v>21</v>
      </c>
      <c r="F82" s="18">
        <v>722.0</v>
      </c>
      <c r="G82" s="18"/>
      <c r="H82" s="34">
        <v>219.0</v>
      </c>
      <c r="I82" s="34">
        <v>244.0</v>
      </c>
      <c r="J82" s="34">
        <v>290.0</v>
      </c>
      <c r="K82" s="20">
        <v>2.4305555555555555E-4</v>
      </c>
      <c r="L82" s="21">
        <v>0.3279</v>
      </c>
      <c r="M82" s="42">
        <v>256.0</v>
      </c>
      <c r="N82" s="42">
        <v>306.0</v>
      </c>
      <c r="O82" s="42">
        <v>356.0</v>
      </c>
      <c r="P82" s="23">
        <v>2.4305555555555555E-4</v>
      </c>
      <c r="Q82" s="24">
        <v>0.3399</v>
      </c>
    </row>
    <row r="83">
      <c r="A83" s="72" t="s">
        <v>169</v>
      </c>
      <c r="B83" s="63">
        <v>45554.0</v>
      </c>
      <c r="C83" s="17" t="s">
        <v>170</v>
      </c>
      <c r="D83" s="18" t="s">
        <v>20</v>
      </c>
      <c r="E83" s="18" t="s">
        <v>21</v>
      </c>
      <c r="F83" s="18">
        <v>723.0</v>
      </c>
      <c r="G83" s="18"/>
      <c r="H83" s="34">
        <v>212.0</v>
      </c>
      <c r="I83" s="34">
        <v>250.0</v>
      </c>
      <c r="J83" s="34">
        <v>278.0</v>
      </c>
      <c r="K83" s="20">
        <v>2.199074074074074E-4</v>
      </c>
      <c r="L83" s="21">
        <v>0.344</v>
      </c>
      <c r="M83" s="42">
        <v>227.0</v>
      </c>
      <c r="N83" s="42">
        <v>273.0</v>
      </c>
      <c r="O83" s="42">
        <v>301.0</v>
      </c>
      <c r="P83" s="23">
        <v>2.199074074074074E-4</v>
      </c>
      <c r="Q83" s="24">
        <v>0.348</v>
      </c>
    </row>
    <row r="84">
      <c r="A84" s="70" t="s">
        <v>171</v>
      </c>
      <c r="B84" s="56">
        <v>45432.0</v>
      </c>
      <c r="C84" s="17" t="s">
        <v>172</v>
      </c>
      <c r="D84" s="18" t="s">
        <v>29</v>
      </c>
      <c r="E84" s="18" t="s">
        <v>21</v>
      </c>
      <c r="F84" s="18">
        <v>761.0</v>
      </c>
      <c r="G84" s="18"/>
      <c r="H84" s="34">
        <v>210.0</v>
      </c>
      <c r="I84" s="34">
        <v>236.0</v>
      </c>
      <c r="J84" s="34">
        <v>266.0</v>
      </c>
      <c r="K84" s="20">
        <v>6.134259259259259E-4</v>
      </c>
      <c r="L84" s="21">
        <v>0.1568</v>
      </c>
      <c r="M84" s="42">
        <v>241.0</v>
      </c>
      <c r="N84" s="42">
        <v>271.0</v>
      </c>
      <c r="O84" s="42">
        <v>303.0</v>
      </c>
      <c r="P84" s="23">
        <v>5.902777777777778E-4</v>
      </c>
      <c r="Q84" s="24">
        <v>0.1845</v>
      </c>
    </row>
    <row r="85">
      <c r="A85" s="65" t="s">
        <v>173</v>
      </c>
      <c r="B85" s="63">
        <v>45663.0</v>
      </c>
      <c r="C85" s="17" t="s">
        <v>174</v>
      </c>
      <c r="D85" s="18" t="s">
        <v>29</v>
      </c>
      <c r="E85" s="18" t="s">
        <v>24</v>
      </c>
      <c r="F85" s="18">
        <v>1566.0</v>
      </c>
      <c r="G85" s="18"/>
      <c r="H85" s="34">
        <v>220.0</v>
      </c>
      <c r="I85" s="34">
        <v>261.0</v>
      </c>
      <c r="J85" s="34">
        <v>260.0</v>
      </c>
      <c r="K85" s="20">
        <v>2.4305555555555555E-4</v>
      </c>
      <c r="L85" s="21"/>
      <c r="M85" s="42">
        <v>237.0</v>
      </c>
      <c r="N85" s="42">
        <v>280.0</v>
      </c>
      <c r="O85" s="42">
        <v>280.0</v>
      </c>
      <c r="P85" s="23">
        <v>2.546296296296296E-4</v>
      </c>
      <c r="Q85" s="24"/>
    </row>
    <row r="86">
      <c r="A86" s="76" t="s">
        <v>175</v>
      </c>
      <c r="B86" s="56">
        <v>45778.0</v>
      </c>
      <c r="C86" s="17" t="s">
        <v>176</v>
      </c>
      <c r="D86" s="18" t="s">
        <v>20</v>
      </c>
      <c r="E86" s="18" t="s">
        <v>21</v>
      </c>
      <c r="F86" s="18">
        <v>829.0</v>
      </c>
      <c r="G86" s="18"/>
      <c r="H86" s="34">
        <v>165.0</v>
      </c>
      <c r="I86" s="34">
        <v>206.0</v>
      </c>
      <c r="J86" s="34">
        <v>241.0</v>
      </c>
      <c r="K86" s="20">
        <v>5.324074074074074E-4</v>
      </c>
      <c r="L86" s="79"/>
      <c r="M86" s="42">
        <v>185.0</v>
      </c>
      <c r="N86" s="42">
        <v>231.0</v>
      </c>
      <c r="O86" s="42">
        <v>267.0</v>
      </c>
      <c r="P86" s="23">
        <v>5.555555555555556E-4</v>
      </c>
      <c r="Q86" s="80"/>
    </row>
    <row r="87">
      <c r="A87" s="65" t="s">
        <v>177</v>
      </c>
      <c r="B87" s="63">
        <v>45474.0</v>
      </c>
      <c r="C87" s="17" t="s">
        <v>178</v>
      </c>
      <c r="D87" s="18" t="s">
        <v>20</v>
      </c>
      <c r="E87" s="18" t="s">
        <v>21</v>
      </c>
      <c r="F87" s="18">
        <v>855.0</v>
      </c>
      <c r="G87" s="18"/>
      <c r="H87" s="34">
        <v>179.0</v>
      </c>
      <c r="I87" s="34">
        <v>218.0</v>
      </c>
      <c r="J87" s="34">
        <v>238.0</v>
      </c>
      <c r="K87" s="20">
        <v>4.050925925925926E-4</v>
      </c>
      <c r="L87" s="21"/>
      <c r="M87" s="42">
        <v>271.0</v>
      </c>
      <c r="N87" s="42">
        <v>331.0</v>
      </c>
      <c r="O87" s="22">
        <v>353.0</v>
      </c>
      <c r="P87" s="23">
        <v>5.555555555555556E-4</v>
      </c>
      <c r="Q87" s="24"/>
    </row>
    <row r="88">
      <c r="A88" s="82" t="s">
        <v>179</v>
      </c>
      <c r="B88" s="56">
        <v>45768.0</v>
      </c>
      <c r="C88" s="17" t="s">
        <v>180</v>
      </c>
      <c r="D88" s="18" t="s">
        <v>20</v>
      </c>
      <c r="E88" s="18" t="s">
        <v>21</v>
      </c>
      <c r="F88" s="18">
        <v>462.0</v>
      </c>
      <c r="G88" s="18"/>
      <c r="H88" s="19">
        <v>192.0</v>
      </c>
      <c r="I88" s="19">
        <v>211.0</v>
      </c>
      <c r="J88" s="19">
        <v>230.0</v>
      </c>
      <c r="K88" s="20">
        <v>3.125E-4</v>
      </c>
      <c r="L88" s="21">
        <v>0.4502</v>
      </c>
      <c r="M88" s="22">
        <v>205.0</v>
      </c>
      <c r="N88" s="22">
        <v>238.0</v>
      </c>
      <c r="O88" s="22">
        <v>260.0</v>
      </c>
      <c r="P88" s="23">
        <v>3.125E-4</v>
      </c>
      <c r="Q88" s="24">
        <v>0.4454</v>
      </c>
    </row>
    <row r="89">
      <c r="A89" s="83" t="s">
        <v>181</v>
      </c>
      <c r="B89" s="84">
        <v>45511.0</v>
      </c>
      <c r="C89" s="49" t="s">
        <v>182</v>
      </c>
      <c r="D89" s="50" t="s">
        <v>29</v>
      </c>
      <c r="E89" s="50" t="s">
        <v>24</v>
      </c>
      <c r="F89" s="50">
        <v>2192.0</v>
      </c>
      <c r="G89" s="18"/>
      <c r="H89" s="50">
        <v>162.0</v>
      </c>
      <c r="I89" s="50">
        <v>182.0</v>
      </c>
      <c r="J89" s="50">
        <v>218.0</v>
      </c>
      <c r="K89" s="52">
        <v>4.62962962962963E-4</v>
      </c>
      <c r="L89" s="53">
        <v>0.2198</v>
      </c>
      <c r="M89" s="50">
        <v>202.0</v>
      </c>
      <c r="N89" s="50">
        <v>227.0</v>
      </c>
      <c r="O89" s="50">
        <v>266.0</v>
      </c>
      <c r="P89" s="52">
        <v>4.62962962962963E-4</v>
      </c>
      <c r="Q89" s="53">
        <v>0.1982</v>
      </c>
      <c r="R89" s="54"/>
      <c r="S89" s="54"/>
      <c r="T89" s="54"/>
      <c r="U89" s="54"/>
      <c r="V89" s="54"/>
      <c r="W89" s="54"/>
      <c r="X89" s="54"/>
      <c r="Y89" s="54"/>
      <c r="Z89" s="54"/>
      <c r="AA89" s="54"/>
      <c r="AB89" s="54"/>
      <c r="AC89" s="54"/>
      <c r="AD89" s="54"/>
    </row>
    <row r="90">
      <c r="A90" s="70" t="s">
        <v>183</v>
      </c>
      <c r="B90" s="56">
        <v>45646.0</v>
      </c>
      <c r="C90" s="17" t="s">
        <v>184</v>
      </c>
      <c r="D90" s="18" t="s">
        <v>29</v>
      </c>
      <c r="E90" s="18" t="s">
        <v>24</v>
      </c>
      <c r="F90" s="18">
        <v>1891.0</v>
      </c>
      <c r="G90" s="18"/>
      <c r="H90" s="34">
        <v>125.0</v>
      </c>
      <c r="I90" s="34">
        <v>189.0</v>
      </c>
      <c r="J90" s="34">
        <v>205.0</v>
      </c>
      <c r="K90" s="66">
        <v>0.0016550925925925926</v>
      </c>
      <c r="L90" s="79"/>
      <c r="M90" s="42">
        <v>168.0</v>
      </c>
      <c r="N90" s="42">
        <v>284.0</v>
      </c>
      <c r="O90" s="42">
        <v>326.0</v>
      </c>
      <c r="P90" s="23">
        <v>0.001990740740740741</v>
      </c>
      <c r="Q90" s="80"/>
    </row>
    <row r="91">
      <c r="A91" s="85" t="s">
        <v>185</v>
      </c>
      <c r="B91" s="63">
        <v>45445.0</v>
      </c>
      <c r="C91" s="17" t="s">
        <v>186</v>
      </c>
      <c r="D91" s="18" t="s">
        <v>20</v>
      </c>
      <c r="E91" s="18" t="s">
        <v>24</v>
      </c>
      <c r="F91" s="18">
        <v>2362.0</v>
      </c>
      <c r="G91" s="18"/>
      <c r="H91" s="19">
        <v>148.0</v>
      </c>
      <c r="I91" s="19">
        <v>169.0</v>
      </c>
      <c r="J91" s="19">
        <v>197.0</v>
      </c>
      <c r="K91" s="20">
        <v>8.449074074074074E-4</v>
      </c>
      <c r="L91" s="21">
        <v>0.3432</v>
      </c>
      <c r="M91" s="22">
        <v>266.0</v>
      </c>
      <c r="N91" s="22">
        <v>317.0</v>
      </c>
      <c r="O91" s="22">
        <v>366.0</v>
      </c>
      <c r="P91" s="23">
        <v>7.060185185185185E-4</v>
      </c>
      <c r="Q91" s="24">
        <v>0.3596</v>
      </c>
    </row>
    <row r="92">
      <c r="A92" s="70" t="s">
        <v>187</v>
      </c>
      <c r="B92" s="56">
        <v>45566.0</v>
      </c>
      <c r="C92" s="17" t="s">
        <v>188</v>
      </c>
      <c r="D92" s="18" t="s">
        <v>20</v>
      </c>
      <c r="E92" s="18" t="s">
        <v>24</v>
      </c>
      <c r="F92" s="18">
        <v>1965.0</v>
      </c>
      <c r="G92" s="18"/>
      <c r="H92" s="34">
        <v>140.0</v>
      </c>
      <c r="I92" s="34">
        <v>157.0</v>
      </c>
      <c r="J92" s="34">
        <v>182.0</v>
      </c>
      <c r="K92" s="20">
        <v>6.25E-4</v>
      </c>
      <c r="L92" s="21">
        <v>0.3312</v>
      </c>
      <c r="M92" s="42">
        <v>170.0</v>
      </c>
      <c r="N92" s="42">
        <v>197.0</v>
      </c>
      <c r="O92" s="42">
        <v>228.0</v>
      </c>
      <c r="P92" s="23">
        <v>6.134259259259259E-4</v>
      </c>
      <c r="Q92" s="24">
        <v>0.2741</v>
      </c>
    </row>
    <row r="93">
      <c r="A93" s="86"/>
      <c r="B93" s="69">
        <v>45894.0</v>
      </c>
      <c r="C93" s="32" t="s">
        <v>189</v>
      </c>
      <c r="D93" s="18" t="s">
        <v>20</v>
      </c>
      <c r="E93" s="18" t="s">
        <v>21</v>
      </c>
      <c r="F93" s="18">
        <v>450.0</v>
      </c>
      <c r="G93" s="18"/>
      <c r="H93" s="34">
        <v>121.0</v>
      </c>
      <c r="I93" s="34">
        <v>143.0</v>
      </c>
      <c r="J93" s="34">
        <v>170.0</v>
      </c>
      <c r="K93" s="20">
        <v>4.166666666666667E-4</v>
      </c>
      <c r="L93" s="21">
        <v>0.2517</v>
      </c>
      <c r="M93" s="42">
        <v>133.0</v>
      </c>
      <c r="N93" s="42">
        <v>156.0</v>
      </c>
      <c r="O93" s="42">
        <v>184.0</v>
      </c>
      <c r="P93" s="23">
        <v>4.166666666666667E-4</v>
      </c>
      <c r="Q93" s="24">
        <v>0.2372</v>
      </c>
    </row>
    <row r="94">
      <c r="A94" s="82" t="s">
        <v>190</v>
      </c>
      <c r="B94" s="56">
        <v>45410.0</v>
      </c>
      <c r="C94" s="17" t="s">
        <v>191</v>
      </c>
      <c r="D94" s="18" t="s">
        <v>20</v>
      </c>
      <c r="E94" s="18" t="s">
        <v>21</v>
      </c>
      <c r="F94" s="18">
        <v>904.0</v>
      </c>
      <c r="G94" s="18"/>
      <c r="H94" s="34">
        <v>121.0</v>
      </c>
      <c r="I94" s="34">
        <v>154.0</v>
      </c>
      <c r="J94" s="34">
        <v>170.0</v>
      </c>
      <c r="K94" s="20">
        <v>4.398148148148148E-4</v>
      </c>
      <c r="L94" s="21"/>
      <c r="M94" s="42">
        <v>141.0</v>
      </c>
      <c r="N94" s="42">
        <v>193.0</v>
      </c>
      <c r="O94" s="42">
        <v>203.0</v>
      </c>
      <c r="P94" s="23">
        <v>5.092592592592592E-4</v>
      </c>
      <c r="Q94" s="24"/>
    </row>
    <row r="95">
      <c r="A95" s="65" t="s">
        <v>192</v>
      </c>
      <c r="B95" s="63">
        <v>45329.0</v>
      </c>
      <c r="C95" s="67" t="s">
        <v>193</v>
      </c>
      <c r="D95" s="18" t="s">
        <v>20</v>
      </c>
      <c r="E95" s="18" t="s">
        <v>24</v>
      </c>
      <c r="F95" s="18">
        <v>1279.0</v>
      </c>
      <c r="G95" s="18"/>
      <c r="H95" s="34">
        <v>116.0</v>
      </c>
      <c r="I95" s="34">
        <v>139.0</v>
      </c>
      <c r="J95" s="34">
        <v>164.0</v>
      </c>
      <c r="K95" s="20">
        <v>4.62962962962963E-4</v>
      </c>
      <c r="L95" s="21">
        <v>0.3022</v>
      </c>
      <c r="M95" s="42">
        <v>385.0</v>
      </c>
      <c r="N95" s="42">
        <v>497.0</v>
      </c>
      <c r="O95" s="22">
        <v>591.0</v>
      </c>
      <c r="P95" s="23">
        <v>5.092592592592592E-4</v>
      </c>
      <c r="Q95" s="24">
        <v>0.3843</v>
      </c>
    </row>
    <row r="96">
      <c r="A96" s="87"/>
      <c r="B96" s="74">
        <v>45926.0</v>
      </c>
      <c r="C96" s="32" t="s">
        <v>194</v>
      </c>
      <c r="D96" s="18" t="s">
        <v>20</v>
      </c>
      <c r="E96" s="18" t="s">
        <v>21</v>
      </c>
      <c r="F96" s="18">
        <v>520.0</v>
      </c>
      <c r="G96" s="18"/>
      <c r="H96" s="19">
        <v>95.0</v>
      </c>
      <c r="I96" s="19">
        <v>120.0</v>
      </c>
      <c r="J96" s="19">
        <v>160.0</v>
      </c>
      <c r="K96" s="20">
        <v>2.662037037037037E-4</v>
      </c>
      <c r="L96" s="21">
        <v>0.3</v>
      </c>
      <c r="M96" s="22">
        <v>115.0</v>
      </c>
      <c r="N96" s="22">
        <v>143.0</v>
      </c>
      <c r="O96" s="22">
        <v>189.0</v>
      </c>
      <c r="P96" s="23">
        <v>2.777777777777778E-4</v>
      </c>
      <c r="Q96" s="24">
        <v>0.2657</v>
      </c>
    </row>
    <row r="97">
      <c r="A97" s="65" t="s">
        <v>195</v>
      </c>
      <c r="B97" s="63">
        <v>45446.0</v>
      </c>
      <c r="C97" s="17" t="s">
        <v>196</v>
      </c>
      <c r="D97" s="18" t="s">
        <v>20</v>
      </c>
      <c r="E97" s="18" t="s">
        <v>24</v>
      </c>
      <c r="F97" s="18">
        <v>2538.0</v>
      </c>
      <c r="G97" s="18"/>
      <c r="H97" s="19">
        <v>108.0</v>
      </c>
      <c r="I97" s="19">
        <v>141.0</v>
      </c>
      <c r="J97" s="19">
        <v>148.0</v>
      </c>
      <c r="K97" s="20">
        <v>3.125E-4</v>
      </c>
      <c r="L97" s="21">
        <v>0.3972</v>
      </c>
      <c r="M97" s="22">
        <v>402.0</v>
      </c>
      <c r="N97" s="22">
        <v>518.0</v>
      </c>
      <c r="O97" s="22">
        <v>561.0</v>
      </c>
      <c r="P97" s="23">
        <v>4.5138888888888887E-4</v>
      </c>
      <c r="Q97" s="24">
        <v>0.388</v>
      </c>
    </row>
    <row r="98">
      <c r="A98" s="73"/>
      <c r="B98" s="74">
        <v>45950.0</v>
      </c>
      <c r="C98" s="32" t="s">
        <v>197</v>
      </c>
      <c r="D98" s="18" t="s">
        <v>20</v>
      </c>
      <c r="E98" s="18" t="s">
        <v>21</v>
      </c>
      <c r="F98" s="18">
        <v>919.0</v>
      </c>
      <c r="G98" s="18"/>
      <c r="H98" s="19">
        <v>105.0</v>
      </c>
      <c r="I98" s="19">
        <v>139.0</v>
      </c>
      <c r="J98" s="19">
        <v>147.0</v>
      </c>
      <c r="K98" s="20">
        <v>4.398148148148148E-4</v>
      </c>
      <c r="L98" s="21">
        <v>0.3127</v>
      </c>
      <c r="M98" s="22"/>
      <c r="N98" s="22"/>
      <c r="O98" s="22"/>
      <c r="P98" s="23"/>
      <c r="Q98" s="24"/>
    </row>
    <row r="99">
      <c r="A99" s="65" t="s">
        <v>198</v>
      </c>
      <c r="B99" s="63">
        <v>45595.0</v>
      </c>
      <c r="C99" s="17" t="s">
        <v>199</v>
      </c>
      <c r="D99" s="18" t="s">
        <v>29</v>
      </c>
      <c r="E99" s="18" t="s">
        <v>24</v>
      </c>
      <c r="F99" s="18">
        <v>1106.0</v>
      </c>
      <c r="G99" s="18"/>
      <c r="H99" s="34">
        <v>110.0</v>
      </c>
      <c r="I99" s="34">
        <v>137.0</v>
      </c>
      <c r="J99" s="34">
        <v>143.0</v>
      </c>
      <c r="K99" s="20">
        <v>5.208333333333333E-4</v>
      </c>
      <c r="L99" s="21">
        <v>0.4307</v>
      </c>
      <c r="M99" s="42">
        <v>154.0</v>
      </c>
      <c r="N99" s="42">
        <v>191.0</v>
      </c>
      <c r="O99" s="42">
        <v>207.0</v>
      </c>
      <c r="P99" s="23">
        <v>4.7453703703703704E-4</v>
      </c>
      <c r="Q99" s="24">
        <v>0.377</v>
      </c>
    </row>
    <row r="100">
      <c r="A100" s="70" t="s">
        <v>200</v>
      </c>
      <c r="B100" s="56">
        <v>45579.0</v>
      </c>
      <c r="C100" s="17" t="s">
        <v>201</v>
      </c>
      <c r="D100" s="18" t="s">
        <v>20</v>
      </c>
      <c r="E100" s="18" t="s">
        <v>24</v>
      </c>
      <c r="F100" s="18">
        <v>2002.0</v>
      </c>
      <c r="G100" s="18"/>
      <c r="H100" s="34">
        <v>91.0</v>
      </c>
      <c r="I100" s="34">
        <v>121.0</v>
      </c>
      <c r="J100" s="34">
        <v>141.0</v>
      </c>
      <c r="K100" s="20">
        <v>6.481481481481481E-4</v>
      </c>
      <c r="L100" s="21">
        <v>0.3967</v>
      </c>
      <c r="M100" s="42">
        <v>116.0</v>
      </c>
      <c r="N100" s="42">
        <v>156.0</v>
      </c>
      <c r="O100" s="42">
        <v>178.0</v>
      </c>
      <c r="P100" s="23">
        <v>6.597222222222222E-4</v>
      </c>
      <c r="Q100" s="24">
        <v>0.359</v>
      </c>
    </row>
    <row r="101">
      <c r="A101" s="88" t="s">
        <v>202</v>
      </c>
      <c r="B101" s="89">
        <v>45887.0</v>
      </c>
      <c r="C101" s="90" t="s">
        <v>203</v>
      </c>
      <c r="D101" s="91" t="s">
        <v>29</v>
      </c>
      <c r="E101" s="91" t="s">
        <v>21</v>
      </c>
      <c r="F101" s="91">
        <v>986.0</v>
      </c>
      <c r="G101" s="18"/>
      <c r="H101" s="92">
        <v>96.0</v>
      </c>
      <c r="I101" s="92">
        <v>110.0</v>
      </c>
      <c r="J101" s="92">
        <v>134.0</v>
      </c>
      <c r="K101" s="93">
        <v>3.4722222222222224E-4</v>
      </c>
      <c r="L101" s="94">
        <v>0.4182</v>
      </c>
      <c r="M101" s="95">
        <v>493.0</v>
      </c>
      <c r="N101" s="95">
        <v>646.0</v>
      </c>
      <c r="O101" s="95">
        <v>749.0</v>
      </c>
      <c r="P101" s="96">
        <v>4.166666666666667E-4</v>
      </c>
      <c r="Q101" s="97">
        <v>0.418</v>
      </c>
      <c r="R101" s="98"/>
      <c r="S101" s="98"/>
      <c r="T101" s="98"/>
      <c r="U101" s="98"/>
      <c r="V101" s="98"/>
      <c r="W101" s="98"/>
      <c r="X101" s="98"/>
      <c r="Y101" s="98"/>
      <c r="Z101" s="98"/>
      <c r="AA101" s="98"/>
      <c r="AB101" s="98"/>
      <c r="AC101" s="98"/>
      <c r="AD101" s="98"/>
    </row>
    <row r="102">
      <c r="A102" s="71" t="s">
        <v>204</v>
      </c>
      <c r="B102" s="56">
        <v>45432.0</v>
      </c>
      <c r="C102" s="17" t="s">
        <v>205</v>
      </c>
      <c r="D102" s="18" t="s">
        <v>29</v>
      </c>
      <c r="E102" s="18" t="s">
        <v>21</v>
      </c>
      <c r="F102" s="18">
        <v>449.0</v>
      </c>
      <c r="G102" s="18"/>
      <c r="H102" s="34">
        <v>81.0</v>
      </c>
      <c r="I102" s="34">
        <v>86.0</v>
      </c>
      <c r="J102" s="34">
        <v>107.0</v>
      </c>
      <c r="K102" s="20">
        <v>2.546296296296296E-4</v>
      </c>
      <c r="L102" s="21">
        <v>0.3953</v>
      </c>
      <c r="M102" s="42">
        <v>81.0</v>
      </c>
      <c r="N102" s="42">
        <v>86.0</v>
      </c>
      <c r="O102" s="42">
        <v>107.0</v>
      </c>
      <c r="P102" s="23">
        <v>2.546296296296296E-4</v>
      </c>
      <c r="Q102" s="24">
        <v>0.3953</v>
      </c>
    </row>
    <row r="103">
      <c r="A103" s="65" t="s">
        <v>206</v>
      </c>
      <c r="B103" s="63">
        <v>45586.0</v>
      </c>
      <c r="C103" s="17" t="s">
        <v>207</v>
      </c>
      <c r="D103" s="18" t="s">
        <v>20</v>
      </c>
      <c r="E103" s="18" t="s">
        <v>24</v>
      </c>
      <c r="F103" s="18">
        <v>1212.0</v>
      </c>
      <c r="G103" s="18"/>
      <c r="H103" s="34">
        <v>64.0</v>
      </c>
      <c r="I103" s="34">
        <v>80.0</v>
      </c>
      <c r="J103" s="34">
        <v>94.0</v>
      </c>
      <c r="K103" s="20">
        <v>5.324074074074074E-4</v>
      </c>
      <c r="L103" s="21">
        <v>0.25</v>
      </c>
      <c r="M103" s="42">
        <v>70.0</v>
      </c>
      <c r="N103" s="42">
        <v>89.0</v>
      </c>
      <c r="O103" s="42">
        <v>104.0</v>
      </c>
      <c r="P103" s="23">
        <v>4.976851851851852E-4</v>
      </c>
      <c r="Q103" s="24">
        <v>0.2247</v>
      </c>
    </row>
    <row r="104">
      <c r="A104" s="73"/>
      <c r="B104" s="74">
        <v>45922.0</v>
      </c>
      <c r="C104" s="32" t="s">
        <v>208</v>
      </c>
      <c r="D104" s="18" t="s">
        <v>20</v>
      </c>
      <c r="E104" s="18" t="s">
        <v>21</v>
      </c>
      <c r="F104" s="18">
        <v>271.0</v>
      </c>
      <c r="G104" s="18"/>
      <c r="H104" s="19">
        <v>52.0</v>
      </c>
      <c r="I104" s="19">
        <v>61.0</v>
      </c>
      <c r="J104" s="19">
        <v>85.0</v>
      </c>
      <c r="K104" s="20">
        <v>1.9675925925925926E-4</v>
      </c>
      <c r="L104" s="21">
        <v>0.2623</v>
      </c>
      <c r="M104" s="22">
        <v>56.0</v>
      </c>
      <c r="N104" s="22">
        <v>65.0</v>
      </c>
      <c r="O104" s="22">
        <v>91.0</v>
      </c>
      <c r="P104" s="23">
        <v>1.8518518518518518E-4</v>
      </c>
      <c r="Q104" s="24">
        <v>0.2769</v>
      </c>
    </row>
    <row r="105">
      <c r="A105" s="65" t="s">
        <v>209</v>
      </c>
      <c r="B105" s="63">
        <v>45568.0</v>
      </c>
      <c r="C105" s="17" t="s">
        <v>210</v>
      </c>
      <c r="D105" s="18" t="s">
        <v>29</v>
      </c>
      <c r="E105" s="18" t="s">
        <v>24</v>
      </c>
      <c r="F105" s="18">
        <v>1230.0</v>
      </c>
      <c r="G105" s="18"/>
      <c r="H105" s="34">
        <v>62.0</v>
      </c>
      <c r="I105" s="34">
        <v>72.0</v>
      </c>
      <c r="J105" s="34">
        <v>84.0</v>
      </c>
      <c r="K105" s="20">
        <v>0.0011689814814814816</v>
      </c>
      <c r="L105" s="21">
        <v>0.2361</v>
      </c>
      <c r="M105" s="42">
        <v>73.0</v>
      </c>
      <c r="N105" s="42">
        <v>86.0</v>
      </c>
      <c r="O105" s="42">
        <v>98.0</v>
      </c>
      <c r="P105" s="23">
        <v>0.0010879629629629629</v>
      </c>
      <c r="Q105" s="24">
        <v>0.2209</v>
      </c>
    </row>
    <row r="106">
      <c r="A106" s="70" t="s">
        <v>211</v>
      </c>
      <c r="B106" s="56">
        <v>45534.0</v>
      </c>
      <c r="C106" s="17" t="s">
        <v>212</v>
      </c>
      <c r="D106" s="18" t="s">
        <v>29</v>
      </c>
      <c r="E106" s="18" t="s">
        <v>21</v>
      </c>
      <c r="F106" s="18">
        <v>557.0</v>
      </c>
      <c r="G106" s="18"/>
      <c r="H106" s="34">
        <v>42.0</v>
      </c>
      <c r="I106" s="34">
        <v>55.0</v>
      </c>
      <c r="J106" s="34">
        <v>63.0</v>
      </c>
      <c r="K106" s="20">
        <v>3.2407407407407406E-4</v>
      </c>
      <c r="L106" s="21">
        <v>0.4182</v>
      </c>
      <c r="M106" s="42">
        <v>73.0</v>
      </c>
      <c r="N106" s="42">
        <v>90.0</v>
      </c>
      <c r="O106" s="42">
        <v>105.0</v>
      </c>
      <c r="P106" s="23">
        <v>4.861111111111111E-4</v>
      </c>
      <c r="Q106" s="24">
        <v>0.3889</v>
      </c>
    </row>
    <row r="107">
      <c r="A107" s="86"/>
      <c r="B107" s="69">
        <v>45918.0</v>
      </c>
      <c r="C107" s="32" t="s">
        <v>213</v>
      </c>
      <c r="D107" s="18" t="s">
        <v>20</v>
      </c>
      <c r="E107" s="18" t="s">
        <v>21</v>
      </c>
      <c r="F107" s="18">
        <v>615.0</v>
      </c>
      <c r="G107" s="18"/>
      <c r="H107" s="19">
        <v>32.0</v>
      </c>
      <c r="I107" s="19">
        <v>37.0</v>
      </c>
      <c r="J107" s="19">
        <v>48.0</v>
      </c>
      <c r="K107" s="20">
        <v>1.9675925925925926E-4</v>
      </c>
      <c r="L107" s="21">
        <v>0.4054</v>
      </c>
      <c r="M107" s="22">
        <v>38.0</v>
      </c>
      <c r="N107" s="22">
        <v>44.0</v>
      </c>
      <c r="O107" s="22">
        <v>57.0</v>
      </c>
      <c r="P107" s="23">
        <v>1.7361111111111112E-4</v>
      </c>
      <c r="Q107" s="24">
        <v>0.4318</v>
      </c>
    </row>
    <row r="108">
      <c r="A108" s="70" t="s">
        <v>214</v>
      </c>
      <c r="B108" s="56">
        <v>45713.0</v>
      </c>
      <c r="C108" s="17" t="s">
        <v>215</v>
      </c>
      <c r="D108" s="18" t="s">
        <v>29</v>
      </c>
      <c r="E108" s="18"/>
      <c r="F108" s="99" t="s">
        <v>216</v>
      </c>
      <c r="G108" s="18"/>
      <c r="H108" s="34">
        <v>19.0</v>
      </c>
      <c r="I108" s="34">
        <v>23.0</v>
      </c>
      <c r="J108" s="19">
        <v>32.0</v>
      </c>
      <c r="K108" s="20">
        <v>1.273148148148148E-4</v>
      </c>
      <c r="L108" s="21">
        <v>0.1739</v>
      </c>
      <c r="M108" s="42">
        <v>33.0</v>
      </c>
      <c r="N108" s="22">
        <v>38.0</v>
      </c>
      <c r="O108" s="22">
        <v>53.0</v>
      </c>
      <c r="P108" s="23">
        <v>1.1574074074074075E-4</v>
      </c>
      <c r="Q108" s="24">
        <v>0.1316</v>
      </c>
    </row>
    <row r="109">
      <c r="A109" s="65" t="s">
        <v>217</v>
      </c>
      <c r="B109" s="63">
        <v>45379.0</v>
      </c>
      <c r="C109" s="17" t="s">
        <v>218</v>
      </c>
      <c r="D109" s="18" t="s">
        <v>20</v>
      </c>
      <c r="E109" s="18" t="s">
        <v>21</v>
      </c>
      <c r="F109" s="18">
        <v>989.0</v>
      </c>
      <c r="G109" s="18"/>
      <c r="H109" s="34">
        <v>23.0</v>
      </c>
      <c r="I109" s="34">
        <v>31.0</v>
      </c>
      <c r="J109" s="34">
        <v>32.0</v>
      </c>
      <c r="K109" s="66">
        <v>3.356481481481481E-4</v>
      </c>
      <c r="L109" s="21">
        <v>0.4839</v>
      </c>
      <c r="M109" s="42">
        <v>64.0</v>
      </c>
      <c r="N109" s="42">
        <v>73.0</v>
      </c>
      <c r="O109" s="42">
        <v>79.0</v>
      </c>
      <c r="P109" s="23">
        <v>3.356481481481481E-4</v>
      </c>
      <c r="Q109" s="24">
        <v>0.4384</v>
      </c>
    </row>
    <row r="110">
      <c r="A110" s="70" t="s">
        <v>219</v>
      </c>
      <c r="B110" s="56">
        <v>45450.0</v>
      </c>
      <c r="C110" s="17" t="s">
        <v>220</v>
      </c>
      <c r="D110" s="18" t="s">
        <v>20</v>
      </c>
      <c r="E110" s="18" t="s">
        <v>21</v>
      </c>
      <c r="F110" s="18">
        <v>940.0</v>
      </c>
      <c r="G110" s="18"/>
      <c r="H110" s="34">
        <v>17.0</v>
      </c>
      <c r="I110" s="34">
        <v>25.0</v>
      </c>
      <c r="J110" s="34">
        <v>25.0</v>
      </c>
      <c r="K110" s="20">
        <v>2.0833333333333335E-4</v>
      </c>
      <c r="L110" s="21">
        <v>0.0</v>
      </c>
      <c r="M110" s="42">
        <v>30.0</v>
      </c>
      <c r="N110" s="42">
        <v>39.0</v>
      </c>
      <c r="O110" s="42">
        <v>45.0</v>
      </c>
      <c r="P110" s="23">
        <v>3.0092592592592595E-4</v>
      </c>
      <c r="Q110" s="24">
        <v>0.1538</v>
      </c>
    </row>
    <row r="111">
      <c r="A111" s="68"/>
      <c r="B111" s="69">
        <v>45933.0</v>
      </c>
      <c r="C111" s="32" t="s">
        <v>221</v>
      </c>
      <c r="D111" s="18" t="s">
        <v>20</v>
      </c>
      <c r="E111" s="18" t="s">
        <v>21</v>
      </c>
      <c r="F111" s="18">
        <v>611.0</v>
      </c>
      <c r="G111" s="18"/>
      <c r="H111" s="19">
        <v>8.0</v>
      </c>
      <c r="I111" s="19">
        <v>10.0</v>
      </c>
      <c r="J111" s="19">
        <v>16.0</v>
      </c>
      <c r="K111" s="20">
        <v>1.6203703703703703E-4</v>
      </c>
      <c r="L111" s="21">
        <v>0.0</v>
      </c>
      <c r="M111" s="22">
        <v>110.0</v>
      </c>
      <c r="N111" s="22">
        <v>125.0</v>
      </c>
      <c r="O111" s="22">
        <v>139.0</v>
      </c>
      <c r="P111" s="23">
        <v>1.6203703703703703E-4</v>
      </c>
      <c r="Q111" s="24">
        <v>0.624</v>
      </c>
    </row>
    <row r="112">
      <c r="A112" s="70" t="s">
        <v>222</v>
      </c>
      <c r="B112" s="56">
        <v>45355.0</v>
      </c>
      <c r="C112" s="17" t="s">
        <v>223</v>
      </c>
      <c r="D112" s="18" t="s">
        <v>20</v>
      </c>
      <c r="E112" s="18" t="s">
        <v>24</v>
      </c>
      <c r="F112" s="18">
        <v>1008.0</v>
      </c>
      <c r="G112" s="18"/>
      <c r="H112" s="34">
        <v>9.0</v>
      </c>
      <c r="I112" s="34">
        <v>10.0</v>
      </c>
      <c r="J112" s="34">
        <v>11.0</v>
      </c>
      <c r="K112" s="20">
        <v>4.976851851851852E-4</v>
      </c>
      <c r="L112" s="21">
        <v>0.0</v>
      </c>
      <c r="M112" s="42">
        <v>20.0</v>
      </c>
      <c r="N112" s="42">
        <v>22.0</v>
      </c>
      <c r="O112" s="42">
        <v>24.0</v>
      </c>
      <c r="P112" s="23">
        <v>4.398148148148148E-4</v>
      </c>
      <c r="Q112" s="24">
        <v>0.0909</v>
      </c>
    </row>
    <row r="113">
      <c r="A113" s="65" t="s">
        <v>224</v>
      </c>
      <c r="B113" s="63">
        <v>45398.0</v>
      </c>
      <c r="C113" s="17" t="s">
        <v>225</v>
      </c>
      <c r="D113" s="18" t="s">
        <v>20</v>
      </c>
      <c r="E113" s="18" t="s">
        <v>21</v>
      </c>
      <c r="F113" s="18">
        <v>946.0</v>
      </c>
      <c r="G113" s="18"/>
      <c r="H113" s="34">
        <v>2.0</v>
      </c>
      <c r="I113" s="34">
        <v>2.0</v>
      </c>
      <c r="J113" s="34">
        <v>3.0</v>
      </c>
      <c r="K113" s="20">
        <v>9.259259259259259E-5</v>
      </c>
      <c r="L113" s="21">
        <v>0.0</v>
      </c>
      <c r="M113" s="42">
        <v>5.0</v>
      </c>
      <c r="N113" s="42">
        <v>5.0</v>
      </c>
      <c r="O113" s="42">
        <v>6.0</v>
      </c>
      <c r="P113" s="23">
        <v>4.6296296296296294E-5</v>
      </c>
      <c r="Q113" s="24">
        <v>0.4</v>
      </c>
    </row>
    <row r="114">
      <c r="A114" s="70" t="s">
        <v>226</v>
      </c>
      <c r="B114" s="56">
        <v>45393.0</v>
      </c>
      <c r="C114" s="17" t="s">
        <v>227</v>
      </c>
      <c r="D114" s="18" t="s">
        <v>20</v>
      </c>
      <c r="E114" s="18" t="s">
        <v>24</v>
      </c>
      <c r="F114" s="18">
        <v>1392.0</v>
      </c>
      <c r="G114" s="18"/>
      <c r="H114" s="34">
        <v>2.0</v>
      </c>
      <c r="I114" s="34">
        <v>2.0</v>
      </c>
      <c r="J114" s="34">
        <v>2.0</v>
      </c>
      <c r="K114" s="20">
        <v>0.001851851851851852</v>
      </c>
      <c r="L114" s="21">
        <v>0.0</v>
      </c>
      <c r="M114" s="42">
        <v>3.0</v>
      </c>
      <c r="N114" s="42">
        <v>3.0</v>
      </c>
      <c r="O114" s="42">
        <v>3.0</v>
      </c>
      <c r="P114" s="23">
        <v>0.0015972222222222223</v>
      </c>
      <c r="Q114" s="24">
        <v>0.0</v>
      </c>
    </row>
    <row r="115">
      <c r="A115" s="68"/>
      <c r="B115" s="69">
        <v>45986.0</v>
      </c>
      <c r="C115" s="32" t="s">
        <v>228</v>
      </c>
      <c r="D115" s="18" t="s">
        <v>20</v>
      </c>
      <c r="E115" s="18" t="s">
        <v>24</v>
      </c>
      <c r="F115" s="18">
        <v>1271.0</v>
      </c>
      <c r="G115" s="18"/>
      <c r="H115" s="19">
        <v>1094.0</v>
      </c>
      <c r="I115" s="19">
        <v>1252.0</v>
      </c>
      <c r="J115" s="19">
        <v>1433.0</v>
      </c>
      <c r="K115" s="20">
        <v>7.638888888888889E-4</v>
      </c>
      <c r="L115" s="21">
        <v>0.3458</v>
      </c>
      <c r="M115" s="22"/>
      <c r="N115" s="22"/>
      <c r="O115" s="22"/>
      <c r="P115" s="23"/>
      <c r="Q115" s="24"/>
    </row>
    <row r="116">
      <c r="A116" s="73"/>
      <c r="B116" s="74">
        <v>45982.0</v>
      </c>
      <c r="C116" s="32" t="s">
        <v>229</v>
      </c>
      <c r="D116" s="18" t="s">
        <v>20</v>
      </c>
      <c r="E116" s="18" t="s">
        <v>24</v>
      </c>
      <c r="F116" s="18">
        <v>1038.0</v>
      </c>
      <c r="G116" s="18"/>
      <c r="H116" s="19">
        <v>261.0</v>
      </c>
      <c r="I116" s="19">
        <v>330.0</v>
      </c>
      <c r="J116" s="19">
        <v>391.0</v>
      </c>
      <c r="K116" s="20">
        <v>4.398148148148148E-4</v>
      </c>
      <c r="L116" s="21">
        <v>0.4606</v>
      </c>
      <c r="M116" s="22"/>
      <c r="N116" s="22"/>
      <c r="O116" s="22"/>
      <c r="P116" s="23"/>
      <c r="Q116" s="24"/>
    </row>
    <row r="117">
      <c r="A117" s="68"/>
      <c r="B117" s="69">
        <v>45981.0</v>
      </c>
      <c r="C117" s="32" t="s">
        <v>230</v>
      </c>
      <c r="D117" s="18" t="s">
        <v>20</v>
      </c>
      <c r="E117" s="18" t="s">
        <v>21</v>
      </c>
      <c r="F117" s="18">
        <v>747.0</v>
      </c>
      <c r="G117" s="18"/>
      <c r="H117" s="19">
        <v>325.0</v>
      </c>
      <c r="I117" s="19">
        <v>396.0</v>
      </c>
      <c r="J117" s="19">
        <v>462.0</v>
      </c>
      <c r="K117" s="20">
        <v>4.861111111111111E-4</v>
      </c>
      <c r="L117" s="21">
        <v>0.3232</v>
      </c>
      <c r="M117" s="22"/>
      <c r="N117" s="22"/>
      <c r="O117" s="22"/>
      <c r="P117" s="23"/>
      <c r="Q117" s="24"/>
    </row>
    <row r="118">
      <c r="A118" s="73"/>
      <c r="B118" s="74">
        <v>45975.0</v>
      </c>
      <c r="C118" s="32" t="s">
        <v>231</v>
      </c>
      <c r="D118" s="18" t="s">
        <v>20</v>
      </c>
      <c r="E118" s="18" t="s">
        <v>21</v>
      </c>
      <c r="F118" s="18">
        <v>605.0</v>
      </c>
      <c r="G118" s="18"/>
      <c r="H118" s="19">
        <v>194.0</v>
      </c>
      <c r="I118" s="19">
        <v>246.0</v>
      </c>
      <c r="J118" s="19">
        <v>269.0</v>
      </c>
      <c r="K118" s="20">
        <v>1.7361111111111112E-4</v>
      </c>
      <c r="L118" s="21">
        <v>0.439</v>
      </c>
      <c r="M118" s="22"/>
      <c r="N118" s="22"/>
      <c r="O118" s="22"/>
      <c r="P118" s="23"/>
      <c r="Q118" s="24"/>
    </row>
    <row r="119">
      <c r="A119" s="100"/>
      <c r="B119" s="101">
        <v>45975.0</v>
      </c>
      <c r="C119" s="32" t="s">
        <v>232</v>
      </c>
      <c r="D119" s="18" t="s">
        <v>20</v>
      </c>
      <c r="E119" s="18" t="s">
        <v>21</v>
      </c>
      <c r="F119" s="18">
        <v>439.0</v>
      </c>
      <c r="G119" s="18"/>
      <c r="H119" s="19">
        <v>91.0</v>
      </c>
      <c r="I119" s="19">
        <v>125.0</v>
      </c>
      <c r="J119" s="19">
        <v>144.0</v>
      </c>
      <c r="K119" s="20">
        <v>2.777777777777778E-4</v>
      </c>
      <c r="L119" s="21">
        <v>0.2</v>
      </c>
      <c r="M119" s="22"/>
      <c r="N119" s="22"/>
      <c r="O119" s="22"/>
      <c r="P119" s="23"/>
      <c r="Q119" s="24"/>
    </row>
    <row r="120">
      <c r="A120" s="102"/>
      <c r="B120" s="103">
        <v>46051.0</v>
      </c>
      <c r="C120" s="17" t="str">
        <f>HYPERLINK("A smarter way to watch biology at work | ASU News","A smarter way to watch biology at work | ASU News")</f>
        <v>A smarter way to watch biology at work | ASU News</v>
      </c>
      <c r="H120" s="34"/>
      <c r="I120" s="34"/>
      <c r="J120" s="34"/>
      <c r="K120" s="20"/>
      <c r="L120" s="21"/>
      <c r="M120" s="42"/>
      <c r="N120" s="42"/>
      <c r="O120" s="42"/>
      <c r="P120" s="23"/>
      <c r="Q120" s="24"/>
    </row>
    <row r="121">
      <c r="A121" s="102"/>
      <c r="B121" s="104">
        <v>46051.0</v>
      </c>
      <c r="C121" s="17" t="str">
        <f>HYPERLINK("Arctic ‘deep water’ is surprisingly well protected against climate change — for now | ASU News","Arctic ‘deep water’ is surprisingly well protected against climate change — for now | ASU News")</f>
        <v>Arctic ‘deep water’ is surprisingly well protected against climate change — for now | ASU News</v>
      </c>
      <c r="H121" s="34"/>
      <c r="I121" s="34"/>
      <c r="J121" s="34"/>
      <c r="K121" s="20"/>
      <c r="L121" s="21"/>
      <c r="M121" s="42"/>
      <c r="N121" s="42"/>
      <c r="O121" s="42"/>
      <c r="P121" s="23"/>
      <c r="Q121" s="24"/>
    </row>
    <row r="122">
      <c r="A122" s="102"/>
      <c r="B122" s="103">
        <v>46050.0</v>
      </c>
      <c r="C122" s="17" t="str">
        <f>HYPERLINK("DNA provides a solution to our enormous data storage problem | ASU News","DNA provides a solution to our enormous data storage problem | ASU News")</f>
        <v>DNA provides a solution to our enormous data storage problem | ASU News</v>
      </c>
      <c r="H122" s="34"/>
      <c r="I122" s="34"/>
      <c r="J122" s="34"/>
      <c r="K122" s="20"/>
      <c r="L122" s="21"/>
      <c r="M122" s="42"/>
      <c r="N122" s="42"/>
      <c r="O122" s="42"/>
      <c r="P122" s="23"/>
      <c r="Q122" s="24"/>
    </row>
    <row r="123">
      <c r="A123" s="102"/>
      <c r="B123" s="104">
        <v>46043.0</v>
      </c>
      <c r="C123" s="17" t="str">
        <f>HYPERLINK("ASU, SRP project takes flight to improve water supply forecasting","ASU, SRP project takes flight to improve water supply forecasting")</f>
        <v>ASU, SRP project takes flight to improve water supply forecasting</v>
      </c>
      <c r="H123" s="34"/>
      <c r="I123" s="34"/>
      <c r="J123" s="34"/>
      <c r="K123" s="20"/>
      <c r="L123" s="21"/>
      <c r="M123" s="42"/>
      <c r="N123" s="42"/>
      <c r="O123" s="42"/>
      <c r="P123" s="23"/>
      <c r="Q123" s="24"/>
    </row>
    <row r="124">
      <c r="A124" s="102"/>
      <c r="B124" s="103">
        <v>46038.0</v>
      </c>
      <c r="C124" s="17" t="str">
        <f>HYPERLINK("Roots of Alzheimer’s disease extend beyond the brain | ASU News","Roots of Alzheimer’s disease extend beyond the brain | ASU News")</f>
        <v>Roots of Alzheimer’s disease extend beyond the brain | ASU News</v>
      </c>
      <c r="H124" s="34"/>
      <c r="I124" s="34"/>
      <c r="J124" s="34"/>
      <c r="K124" s="20"/>
      <c r="L124" s="21"/>
      <c r="M124" s="42"/>
      <c r="N124" s="42"/>
      <c r="O124" s="42"/>
      <c r="P124" s="23"/>
      <c r="Q124" s="24"/>
    </row>
    <row r="125">
      <c r="A125" s="102"/>
      <c r="B125" s="104">
        <v>46037.0</v>
      </c>
      <c r="C125" s="17" t="str">
        <f>HYPERLINK("Locust swarms destroy crops — scientists found a way to stop it","Locust swarms destroy crops — scientists found a way to stop it")</f>
        <v>Locust swarms destroy crops — scientists found a way to stop it</v>
      </c>
      <c r="H125" s="34"/>
      <c r="I125" s="34"/>
      <c r="J125" s="34"/>
      <c r="K125" s="20"/>
      <c r="L125" s="21"/>
      <c r="M125" s="42"/>
      <c r="N125" s="42"/>
      <c r="O125" s="42"/>
      <c r="P125" s="23"/>
      <c r="Q125" s="24"/>
    </row>
    <row r="126">
      <c r="A126" s="102"/>
      <c r="B126" s="103">
        <v>46036.0</v>
      </c>
      <c r="C126" s="102" t="str">
        <f>HYPERLINK("Democratizing health care: There’s an app for that","Democratizing health care: There’s an app for that")</f>
        <v>Democratizing health care: There’s an app for that</v>
      </c>
      <c r="H126" s="34"/>
      <c r="I126" s="34"/>
      <c r="J126" s="34"/>
      <c r="K126" s="20"/>
      <c r="L126" s="21"/>
      <c r="M126" s="42"/>
      <c r="N126" s="42"/>
      <c r="O126" s="42"/>
      <c r="P126" s="23"/>
      <c r="Q126" s="24"/>
    </row>
    <row r="127">
      <c r="A127" s="102"/>
      <c r="B127" s="104">
        <v>46029.0</v>
      </c>
      <c r="C127" s="17" t="str">
        <f>HYPERLINK("Farming robots tackle labor shortages using AI | ASU News","Farming robots tackle labor shortages using AI | ASU News")</f>
        <v>Farming robots tackle labor shortages using AI | ASU News</v>
      </c>
      <c r="H127" s="34"/>
      <c r="I127" s="34"/>
      <c r="J127" s="34"/>
      <c r="K127" s="20"/>
      <c r="L127" s="21"/>
      <c r="M127" s="42"/>
      <c r="N127" s="42"/>
      <c r="O127" s="42"/>
      <c r="P127" s="23"/>
      <c r="Q127" s="24"/>
    </row>
    <row r="128">
      <c r="A128" s="102"/>
      <c r="B128" s="103">
        <v>46028.0</v>
      </c>
      <c r="C128" s="17" t="str">
        <f>HYPERLINK("Hidden viruses thrive in desert wildlife | ASU News","Hidden viruses thrive in desert wildlife | ASU News")</f>
        <v>Hidden viruses thrive in desert wildlife | ASU News</v>
      </c>
      <c r="H128" s="34"/>
      <c r="I128" s="34"/>
      <c r="J128" s="34"/>
      <c r="K128" s="20"/>
      <c r="L128" s="21"/>
      <c r="M128" s="42"/>
      <c r="N128" s="42"/>
      <c r="O128" s="42"/>
      <c r="P128" s="23"/>
      <c r="Q128" s="24"/>
    </row>
    <row r="129">
      <c r="A129" s="102"/>
      <c r="B129" s="104">
        <v>46020.0</v>
      </c>
      <c r="C129" s="17" t="str">
        <f>HYPERLINK("Research expenditures ranking underscores ASU’s dramatic growth in high-impact science | ASU News","Research expenditures ranking underscores ASU’s dramatic growth in high-impact science | ASU News")</f>
        <v>Research expenditures ranking underscores ASU’s dramatic growth in high-impact science | ASU News</v>
      </c>
      <c r="H129" s="34"/>
      <c r="I129" s="34"/>
      <c r="J129" s="34"/>
      <c r="K129" s="20"/>
      <c r="L129" s="21"/>
      <c r="M129" s="42"/>
      <c r="N129" s="42"/>
      <c r="O129" s="42"/>
      <c r="P129" s="23"/>
      <c r="Q129" s="24"/>
    </row>
    <row r="130">
      <c r="A130" s="102"/>
      <c r="B130" s="103">
        <v>46009.0</v>
      </c>
      <c r="C130" s="102" t="str">
        <f>HYPERLINK("Finishing what she started: ASU grads’ lifelong pursuit of education becomes a reality","Finishing what she started: ASU grads’ lifelong pursuit of education becomes a reality")</f>
        <v>Finishing what she started: ASU grads’ lifelong pursuit of education becomes a reality</v>
      </c>
      <c r="H130" s="34"/>
      <c r="I130" s="34"/>
      <c r="J130" s="34"/>
      <c r="K130" s="20"/>
      <c r="L130" s="21"/>
      <c r="M130" s="42"/>
      <c r="N130" s="42"/>
      <c r="O130" s="42"/>
      <c r="P130" s="23"/>
      <c r="Q130" s="24"/>
    </row>
    <row r="131">
      <c r="A131" s="102"/>
      <c r="B131" s="104">
        <v>46007.0</v>
      </c>
      <c r="C131" s="102" t="str">
        <f>HYPERLINK("Reshaping worlds: ASU Online grad finds new worldview through biomimicry program","Reshaping worlds: ASU Online grad finds new worldview through biomimicry program")</f>
        <v>Reshaping worlds: ASU Online grad finds new worldview through biomimicry program</v>
      </c>
      <c r="H131" s="34"/>
      <c r="I131" s="34"/>
      <c r="J131" s="34"/>
      <c r="K131" s="20"/>
      <c r="L131" s="21"/>
      <c r="M131" s="42"/>
      <c r="N131" s="42"/>
      <c r="O131" s="42"/>
      <c r="P131" s="23"/>
      <c r="Q131" s="24"/>
    </row>
    <row r="132">
      <c r="A132" s="102"/>
      <c r="B132" s="103">
        <v>46003.0</v>
      </c>
      <c r="C132" s="17" t="str">
        <f>HYPERLINK("2026 ASU-Banner Neuroscience Scholar applications now open","2026 ASU-Banner Neuroscience Scholar applications now open")</f>
        <v>2026 ASU-Banner Neuroscience Scholar applications now open</v>
      </c>
      <c r="H132" s="34"/>
      <c r="I132" s="34"/>
      <c r="J132" s="34"/>
      <c r="K132" s="20"/>
      <c r="L132" s="21"/>
      <c r="M132" s="42"/>
      <c r="N132" s="42"/>
      <c r="O132" s="42"/>
      <c r="P132" s="23"/>
      <c r="Q132" s="24"/>
    </row>
    <row r="133">
      <c r="A133" s="102"/>
      <c r="B133" s="104">
        <v>46003.0</v>
      </c>
      <c r="C133" s="17" t="str">
        <f>HYPERLINK("From doctor to sustainability leader, ASU Online grad moves into new position to merge sustainability with health care","From doctor to sustainability leader, ASU Online grad moves into new position to merge sustainability with health care")</f>
        <v>From doctor to sustainability leader, ASU Online grad moves into new position to merge sustainability with health care</v>
      </c>
      <c r="H133" s="34"/>
      <c r="I133" s="34"/>
      <c r="J133" s="34"/>
      <c r="K133" s="20"/>
      <c r="L133" s="21"/>
      <c r="M133" s="42"/>
      <c r="N133" s="42"/>
      <c r="O133" s="42"/>
      <c r="P133" s="23"/>
      <c r="Q133" s="24"/>
    </row>
    <row r="134">
      <c r="A134" s="102"/>
      <c r="B134" s="103">
        <v>46003.0</v>
      </c>
      <c r="C134" s="102" t="str">
        <f>HYPERLINK("From Guyana to ASU and back: PhD student advances innovation for climate-resilient development","From Guyana to ASU and back: PhD student advances innovation for climate-resilient development")</f>
        <v>From Guyana to ASU and back: PhD student advances innovation for climate-resilient development</v>
      </c>
      <c r="H134" s="34"/>
      <c r="I134" s="34"/>
      <c r="J134" s="34"/>
      <c r="K134" s="20"/>
      <c r="L134" s="21"/>
      <c r="M134" s="42"/>
      <c r="N134" s="42"/>
      <c r="O134" s="42"/>
      <c r="P134" s="23"/>
      <c r="Q134" s="24"/>
    </row>
    <row r="135">
      <c r="A135" s="102"/>
      <c r="B135" s="104">
        <v>46003.0</v>
      </c>
      <c r="C135" s="17" t="str">
        <f>HYPERLINK("First-generation grad finds purpose in sustainability | ASU News","First-generation grad finds purpose in sustainability | ASU News")</f>
        <v>First-generation grad finds purpose in sustainability | ASU News</v>
      </c>
      <c r="H135" s="34"/>
      <c r="I135" s="34"/>
      <c r="J135" s="34"/>
      <c r="K135" s="20"/>
      <c r="L135" s="21"/>
      <c r="M135" s="42"/>
      <c r="N135" s="42"/>
      <c r="O135" s="42"/>
      <c r="P135" s="23"/>
      <c r="Q135" s="24"/>
    </row>
    <row r="136">
      <c r="A136" s="102"/>
      <c r="B136" s="103">
        <v>46002.0</v>
      </c>
      <c r="C136" s="17" t="str">
        <f>HYPERLINK("Smarter tools for peering into the microscopic world | ASU News","Smarter tools for peering into the microscopic world | ASU News")</f>
        <v>Smarter tools for peering into the microscopic world | ASU News</v>
      </c>
      <c r="H136" s="34"/>
      <c r="I136" s="34"/>
      <c r="J136" s="34"/>
      <c r="K136" s="20"/>
      <c r="L136" s="21"/>
      <c r="M136" s="42"/>
      <c r="N136" s="42"/>
      <c r="O136" s="42"/>
      <c r="P136" s="23"/>
      <c r="Q136" s="24"/>
    </row>
    <row r="137">
      <c r="A137" s="102"/>
      <c r="B137" s="104">
        <v>46001.0</v>
      </c>
      <c r="C137" s="17" t="str">
        <f>HYPERLINK("Securing America's critical minerals supply","Securing America's critical minerals supply")</f>
        <v>Securing America's critical minerals supply</v>
      </c>
      <c r="H137" s="34"/>
      <c r="I137" s="34"/>
      <c r="J137" s="34"/>
      <c r="K137" s="20"/>
      <c r="L137" s="21"/>
      <c r="M137" s="42"/>
      <c r="N137" s="42"/>
      <c r="O137" s="42"/>
      <c r="P137" s="23"/>
      <c r="Q137" s="24"/>
    </row>
    <row r="138">
      <c r="A138" s="102"/>
      <c r="B138" s="103">
        <v>46000.0</v>
      </c>
      <c r="C138" s="17" t="str">
        <f>HYPERLINK("US Department of Energy selects ASU and DCX to pioneer new ways to power data centers","US Department of Energy selects ASU and DCX to pioneer new ways to power data centers")</f>
        <v>US Department of Energy selects ASU and DCX to pioneer new ways to power data centers</v>
      </c>
      <c r="H138" s="34"/>
      <c r="I138" s="34"/>
      <c r="J138" s="34"/>
      <c r="K138" s="20"/>
      <c r="L138" s="21"/>
      <c r="M138" s="42"/>
      <c r="N138" s="42"/>
      <c r="O138" s="42"/>
      <c r="P138" s="23"/>
      <c r="Q138" s="24"/>
    </row>
    <row r="139">
      <c r="A139" s="102"/>
      <c r="B139" s="104">
        <v>45999.0</v>
      </c>
      <c r="C139" s="17" t="str">
        <f>HYPERLINK("From the lab to your headphones, new podcast brings ASU research to you","From the lab to your headphones, new podcast brings ASU research to you")</f>
        <v>From the lab to your headphones, new podcast brings ASU research to you</v>
      </c>
      <c r="H139" s="34"/>
      <c r="I139" s="34"/>
      <c r="J139" s="34"/>
      <c r="K139" s="20"/>
      <c r="L139" s="21"/>
      <c r="M139" s="42"/>
      <c r="N139" s="42"/>
      <c r="O139" s="42"/>
      <c r="P139" s="23"/>
      <c r="Q139" s="24"/>
    </row>
    <row r="140">
      <c r="A140" s="102"/>
      <c r="B140" s="103">
        <v>45995.0</v>
      </c>
      <c r="C140" s="102" t="str">
        <f>HYPERLINK("From lab to orbit: Solestial's takeoff from research to startup | ASU News","From lab to orbit: Solestial's takeoff from research to startup | ASU News")</f>
        <v>From lab to orbit: Solestial's takeoff from research to startup | ASU News</v>
      </c>
      <c r="H140" s="34"/>
      <c r="I140" s="34"/>
      <c r="J140" s="34"/>
      <c r="K140" s="20"/>
      <c r="L140" s="21"/>
      <c r="M140" s="42"/>
      <c r="N140" s="42"/>
      <c r="O140" s="42"/>
      <c r="P140" s="23"/>
      <c r="Q140" s="24"/>
    </row>
    <row r="141">
      <c r="A141" s="102"/>
      <c r="B141" s="104">
        <v>45994.0</v>
      </c>
      <c r="C141" s="102" t="str">
        <f>HYPERLINK("From Bali to ASU's Biodesign Institute: How this PhD grad found a home in biophysics","From Bali to ASU's Biodesign Institute: How this PhD grad found a home in biophysics")</f>
        <v>From Bali to ASU's Biodesign Institute: How this PhD grad found a home in biophysics</v>
      </c>
      <c r="H141" s="34"/>
      <c r="I141" s="34"/>
      <c r="J141" s="34"/>
      <c r="K141" s="20"/>
      <c r="L141" s="21"/>
      <c r="M141" s="42"/>
      <c r="N141" s="42"/>
      <c r="O141" s="42"/>
      <c r="P141" s="23"/>
      <c r="Q141" s="24"/>
    </row>
    <row r="142">
      <c r="A142" s="102"/>
      <c r="B142" s="103">
        <v>45993.0</v>
      </c>
      <c r="C142" s="17" t="str">
        <f>HYPERLINK("Shaping a sustainable energy future through policy | ASU News","Shaping a sustainable energy future through policy | ASU News")</f>
        <v>Shaping a sustainable energy future through policy | ASU News</v>
      </c>
      <c r="H142" s="34"/>
      <c r="I142" s="34"/>
      <c r="J142" s="34"/>
      <c r="K142" s="20"/>
      <c r="L142" s="21"/>
      <c r="M142" s="42"/>
      <c r="N142" s="42"/>
      <c r="O142" s="42"/>
      <c r="P142" s="23"/>
      <c r="Q142" s="24"/>
    </row>
    <row r="143">
      <c r="A143" s="102"/>
      <c r="B143" s="104">
        <v>45986.0</v>
      </c>
      <c r="C143" s="17" t="str">
        <f>HYPERLINK("The surprising connection between obesity, choline and brain inflammation | ASU News","The surprising connection between obesity, choline and brain inflammation | ASU News")</f>
        <v>The surprising connection between obesity, choline and brain inflammation | ASU News</v>
      </c>
      <c r="H143" s="34"/>
      <c r="I143" s="34"/>
      <c r="J143" s="34"/>
      <c r="K143" s="20"/>
      <c r="L143" s="21"/>
      <c r="M143" s="42"/>
      <c r="N143" s="42"/>
      <c r="O143" s="42"/>
      <c r="P143" s="23"/>
      <c r="Q143" s="24"/>
    </row>
    <row r="144">
      <c r="A144" s="102"/>
      <c r="B144" s="103">
        <v>45986.0</v>
      </c>
      <c r="C144" s="17" t="str">
        <f>HYPERLINK("What to know about Arizona’s measles outbreak","What to know about Arizona’s measles outbreak")</f>
        <v>What to know about Arizona’s measles outbreak</v>
      </c>
      <c r="H144" s="34"/>
      <c r="I144" s="34"/>
      <c r="J144" s="34"/>
      <c r="K144" s="20"/>
      <c r="L144" s="21"/>
      <c r="M144" s="42"/>
      <c r="N144" s="42"/>
      <c r="O144" s="42"/>
      <c r="P144" s="23"/>
      <c r="Q144" s="24"/>
    </row>
    <row r="145">
      <c r="A145" s="102"/>
      <c r="B145" s="104">
        <v>45982.0</v>
      </c>
      <c r="C145" s="17" t="str">
        <f>HYPERLINK("Elementary school teachers boast classroom benefits after participating in ASU program","Elementary school teachers boast classroom benefits after participating in ASU program")</f>
        <v>Elementary school teachers boast classroom benefits after participating in ASU program</v>
      </c>
      <c r="H145" s="34"/>
      <c r="I145" s="34"/>
      <c r="J145" s="34"/>
      <c r="K145" s="20"/>
      <c r="L145" s="21"/>
      <c r="M145" s="42"/>
      <c r="N145" s="42"/>
      <c r="O145" s="42"/>
      <c r="P145" s="23"/>
      <c r="Q145" s="24"/>
    </row>
    <row r="146">
      <c r="A146" s="102"/>
      <c r="B146" s="103">
        <v>45981.0</v>
      </c>
      <c r="C146" s="17" t="str">
        <f>HYPERLINK("New study shows how microbial transmission can affect adaptive behavior","New study shows how microbial transmission can affect adaptive behavior")</f>
        <v>New study shows how microbial transmission can affect adaptive behavior</v>
      </c>
      <c r="H146" s="34"/>
      <c r="I146" s="34"/>
      <c r="J146" s="34"/>
      <c r="K146" s="20"/>
      <c r="L146" s="21"/>
      <c r="M146" s="42"/>
      <c r="N146" s="42"/>
      <c r="O146" s="42"/>
      <c r="P146" s="23"/>
      <c r="Q146" s="24"/>
    </row>
    <row r="147">
      <c r="A147" s="102"/>
      <c r="B147" s="104">
        <v>45975.0</v>
      </c>
      <c r="C147" s="17" t="str">
        <f>HYPERLINK("Ecology pioneer to speak at ASU Biodesign Institute as part of lecture series","Ecology pioneer to speak at ASU Biodesign Institute as part of lecture series")</f>
        <v>Ecology pioneer to speak at ASU Biodesign Institute as part of lecture series</v>
      </c>
      <c r="H147" s="34"/>
      <c r="I147" s="34"/>
      <c r="J147" s="34"/>
      <c r="K147" s="20"/>
      <c r="L147" s="21"/>
      <c r="M147" s="42"/>
      <c r="N147" s="42"/>
      <c r="O147" s="42"/>
      <c r="P147" s="23"/>
      <c r="Q147" s="24"/>
    </row>
    <row r="148">
      <c r="A148" s="102"/>
      <c r="B148" s="103">
        <v>45975.0</v>
      </c>
      <c r="C148" s="17" t="str">
        <f>HYPERLINK("Youth Climate Summit gives high school students tools to address sustainability in their communities","Youth Climate Summit gives high school students tools to address sustainability in their communities")</f>
        <v>Youth Climate Summit gives high school students tools to address sustainability in their communities</v>
      </c>
      <c r="H148" s="34"/>
      <c r="I148" s="34"/>
      <c r="J148" s="34"/>
      <c r="K148" s="20"/>
      <c r="L148" s="21"/>
      <c r="M148" s="42"/>
      <c r="N148" s="42"/>
      <c r="O148" s="42"/>
      <c r="P148" s="23"/>
      <c r="Q148" s="24"/>
    </row>
    <row r="149">
      <c r="A149" s="102"/>
      <c r="B149" s="104">
        <v>45968.0</v>
      </c>
      <c r="C149" s="17" t="str">
        <f>HYPERLINK("ASU researchers discover DNA-based electronic storage system","ASU researchers discover DNA-based electronic storage system")</f>
        <v>ASU researchers discover DNA-based electronic storage system</v>
      </c>
      <c r="H149" s="34"/>
      <c r="I149" s="34"/>
      <c r="J149" s="34"/>
      <c r="K149" s="20"/>
      <c r="L149" s="21"/>
      <c r="M149" s="42"/>
      <c r="N149" s="42"/>
      <c r="O149" s="42"/>
      <c r="P149" s="23"/>
      <c r="Q149" s="24"/>
    </row>
    <row r="150">
      <c r="A150" s="102"/>
      <c r="B150" s="103">
        <v>45968.0</v>
      </c>
      <c r="C150" s="17" t="str">
        <f>HYPERLINK("From Costa Rica coffee farms to sustainability research | ASU News","From Costa Rica coffee farms to sustainability research | ASU News")</f>
        <v>From Costa Rica coffee farms to sustainability research | ASU News</v>
      </c>
      <c r="H150" s="34"/>
      <c r="I150" s="34"/>
      <c r="J150" s="34"/>
      <c r="K150" s="20"/>
      <c r="L150" s="21"/>
      <c r="M150" s="42"/>
      <c r="N150" s="42"/>
      <c r="O150" s="42"/>
      <c r="P150" s="23"/>
      <c r="Q150" s="24"/>
    </row>
    <row r="151">
      <c r="A151" s="102"/>
      <c r="B151" s="104">
        <v>45968.0</v>
      </c>
      <c r="C151" s="17" t="str">
        <f>HYPERLINK("Conservation expert becomes assistant professor at ASU","Conservation expert becomes assistant professor at ASU")</f>
        <v>Conservation expert becomes assistant professor at ASU</v>
      </c>
      <c r="H151" s="34"/>
      <c r="I151" s="34"/>
      <c r="J151" s="34"/>
      <c r="K151" s="20"/>
      <c r="L151" s="21"/>
      <c r="M151" s="42"/>
      <c r="N151" s="42"/>
      <c r="O151" s="42"/>
      <c r="P151" s="23"/>
      <c r="Q151" s="24"/>
    </row>
    <row r="152">
      <c r="A152" s="102"/>
      <c r="B152" s="103">
        <v>45966.0</v>
      </c>
      <c r="C152" s="17" t="str">
        <f>HYPERLINK("ASU professor returns to home city to teach sustainability","ASU professor returns to home city to teach sustainability")</f>
        <v>ASU professor returns to home city to teach sustainability</v>
      </c>
      <c r="H152" s="34"/>
      <c r="I152" s="34"/>
      <c r="J152" s="34"/>
      <c r="K152" s="20"/>
      <c r="L152" s="21"/>
      <c r="M152" s="42"/>
      <c r="N152" s="42"/>
      <c r="O152" s="42"/>
      <c r="P152" s="23"/>
      <c r="Q152" s="24"/>
    </row>
    <row r="153">
      <c r="A153" s="102"/>
      <c r="B153" s="104">
        <v>45965.0</v>
      </c>
      <c r="C153" s="17" t="str">
        <f>HYPERLINK("Signpost of cancer linked to wound-healing properties","Signpost of cancer linked to wound-healing properties")</f>
        <v>Signpost of cancer linked to wound-healing properties</v>
      </c>
      <c r="H153" s="34"/>
      <c r="I153" s="34"/>
      <c r="J153" s="34"/>
      <c r="K153" s="20"/>
      <c r="L153" s="21"/>
      <c r="M153" s="42"/>
      <c r="N153" s="42"/>
      <c r="O153" s="42"/>
      <c r="P153" s="23"/>
      <c r="Q153" s="24"/>
    </row>
    <row r="154">
      <c r="A154" s="102"/>
      <c r="B154" s="103">
        <v>45964.0</v>
      </c>
      <c r="C154" s="102" t="str">
        <f>HYPERLINK("Secrets of microbial motion: How bacteria swash, glide and shift gears to survive","Secrets of microbial motion: How bacteria swash, glide and shift gears to survive")</f>
        <v>Secrets of microbial motion: How bacteria swash, glide and shift gears to survive</v>
      </c>
      <c r="H154" s="34"/>
      <c r="I154" s="34"/>
      <c r="J154" s="34"/>
      <c r="K154" s="20"/>
      <c r="L154" s="21"/>
      <c r="M154" s="42"/>
      <c r="N154" s="42"/>
      <c r="O154" s="42"/>
      <c r="P154" s="23"/>
      <c r="Q154" s="24"/>
    </row>
    <row r="155">
      <c r="A155" s="102"/>
      <c r="B155" s="104">
        <v>45960.0</v>
      </c>
      <c r="C155" s="17" t="str">
        <f>HYPERLINK("New ASU professor explores intersection of cross-generational action for sustainability","New ASU professor explores intersection of cross-generational action for sustainability")</f>
        <v>New ASU professor explores intersection of cross-generational action for sustainability</v>
      </c>
      <c r="H155" s="34"/>
      <c r="I155" s="34"/>
      <c r="J155" s="34"/>
      <c r="K155" s="20"/>
      <c r="L155" s="21"/>
      <c r="M155" s="42"/>
      <c r="N155" s="42"/>
      <c r="O155" s="42"/>
      <c r="P155" s="23"/>
      <c r="Q155" s="24"/>
    </row>
    <row r="156">
      <c r="A156" s="102"/>
      <c r="B156" s="103">
        <v>45954.0</v>
      </c>
      <c r="C156" s="102" t="str">
        <f>HYPERLINK("Untangling Alzheimer’s: ASU researchers tackling our understanding of the disease on many fronts","Untangling Alzheimer’s: ASU researchers tackling our understanding of the disease on many fronts")</f>
        <v>Untangling Alzheimer’s: ASU researchers tackling our understanding of the disease on many fronts</v>
      </c>
      <c r="H156" s="34"/>
      <c r="I156" s="34"/>
      <c r="J156" s="34"/>
      <c r="K156" s="20"/>
      <c r="L156" s="21"/>
      <c r="M156" s="42"/>
      <c r="N156" s="42"/>
      <c r="O156" s="42"/>
      <c r="P156" s="23"/>
      <c r="Q156" s="24"/>
    </row>
    <row r="157">
      <c r="A157" s="102"/>
      <c r="B157" s="104">
        <v>45951.0</v>
      </c>
      <c r="C157" s="17" t="str">
        <f>HYPERLINK("Food is Medicine' event cultivates new solutions for sustainable health","Food is Medicine' event cultivates new solutions for sustainable health")</f>
        <v>Food is Medicine' event cultivates new solutions for sustainable health</v>
      </c>
      <c r="H157" s="34"/>
      <c r="I157" s="34"/>
      <c r="J157" s="34"/>
      <c r="K157" s="20"/>
      <c r="L157" s="21"/>
      <c r="M157" s="42"/>
      <c r="N157" s="42"/>
      <c r="O157" s="42"/>
      <c r="P157" s="23"/>
      <c r="Q157" s="24"/>
    </row>
    <row r="158">
      <c r="A158" s="102"/>
      <c r="B158" s="103">
        <v>45950.0</v>
      </c>
      <c r="C158" s="17" t="str">
        <f>HYPERLINK("Making mandatory device upgrades a thing of the past","Making mandatory device upgrades a thing of the past")</f>
        <v>Making mandatory device upgrades a thing of the past</v>
      </c>
      <c r="H158" s="34"/>
      <c r="I158" s="34"/>
      <c r="J158" s="34"/>
      <c r="K158" s="20"/>
      <c r="L158" s="21"/>
      <c r="M158" s="42"/>
      <c r="N158" s="42"/>
      <c r="O158" s="42"/>
      <c r="P158" s="23"/>
      <c r="Q158" s="24"/>
    </row>
    <row r="159">
      <c r="A159" s="102"/>
      <c r="B159" s="104">
        <v>45947.0</v>
      </c>
      <c r="C159" s="17" t="str">
        <f>HYPERLINK("Exploring the potential link between microplastics and Alzheimer’s disease","Exploring the potential link between microplastics and Alzheimer’s disease")</f>
        <v>Exploring the potential link between microplastics and Alzheimer’s disease</v>
      </c>
      <c r="H159" s="34"/>
      <c r="I159" s="34"/>
      <c r="J159" s="34"/>
      <c r="K159" s="20"/>
      <c r="L159" s="21"/>
      <c r="M159" s="42"/>
      <c r="N159" s="42"/>
      <c r="O159" s="42"/>
      <c r="P159" s="23"/>
      <c r="Q159" s="24"/>
    </row>
    <row r="160">
      <c r="A160" s="102"/>
      <c r="B160" s="103">
        <v>45940.0</v>
      </c>
      <c r="C160" s="17" t="str">
        <f>HYPERLINK("Scholarship opens doors for Bermudians to pursue their passions at ASU","Scholarship opens doors for Bermudians to pursue their passions at ASU")</f>
        <v>Scholarship opens doors for Bermudians to pursue their passions at ASU</v>
      </c>
      <c r="H160" s="34"/>
      <c r="I160" s="34"/>
      <c r="J160" s="34"/>
      <c r="K160" s="20"/>
      <c r="L160" s="21"/>
      <c r="M160" s="42"/>
      <c r="N160" s="42"/>
      <c r="O160" s="42"/>
      <c r="P160" s="23"/>
      <c r="Q160" s="24"/>
    </row>
    <row r="161">
      <c r="A161" s="102"/>
      <c r="B161" s="104">
        <v>45936.0</v>
      </c>
      <c r="C161" s="17" t="str">
        <f>HYPERLINK("How a rabbit virus learned to infect hares","How a rabbit virus learned to infect hares")</f>
        <v>How a rabbit virus learned to infect hares</v>
      </c>
      <c r="H161" s="34"/>
      <c r="I161" s="34"/>
      <c r="J161" s="34"/>
      <c r="K161" s="20"/>
      <c r="L161" s="21"/>
      <c r="M161" s="42"/>
      <c r="N161" s="42"/>
      <c r="O161" s="42"/>
      <c r="P161" s="23"/>
      <c r="Q161" s="24"/>
    </row>
    <row r="162">
      <c r="A162" s="102"/>
      <c r="B162" s="103">
        <v>45933.0</v>
      </c>
      <c r="C162" s="17" t="str">
        <f>HYPERLINK("ASU grad takes sustainable food passion to Slovakia with Fulbright Award","ASU grad takes sustainable food passion to Slovakia with Fulbright Award")</f>
        <v>ASU grad takes sustainable food passion to Slovakia with Fulbright Award</v>
      </c>
      <c r="H162" s="34"/>
      <c r="I162" s="34"/>
      <c r="J162" s="34"/>
      <c r="K162" s="20"/>
      <c r="L162" s="21"/>
      <c r="M162" s="42"/>
      <c r="N162" s="42"/>
      <c r="O162" s="42"/>
      <c r="P162" s="23"/>
      <c r="Q162" s="24"/>
    </row>
    <row r="163">
      <c r="A163" s="102"/>
      <c r="B163" s="104">
        <v>45929.0</v>
      </c>
      <c r="C163" s="17" t="str">
        <f>HYPERLINK("New studies shine a light on the Arctic's current — and future — affairs","New studies shine a light on the Arctic's current — and future — affairs")</f>
        <v>New studies shine a light on the Arctic's current — and future — affairs</v>
      </c>
      <c r="H163" s="34"/>
      <c r="I163" s="34"/>
      <c r="J163" s="34"/>
      <c r="K163" s="20"/>
      <c r="L163" s="21"/>
      <c r="M163" s="42"/>
      <c r="N163" s="42"/>
      <c r="O163" s="42"/>
      <c r="P163" s="23"/>
      <c r="Q163" s="24"/>
    </row>
    <row r="164">
      <c r="A164" s="102"/>
      <c r="B164" s="103">
        <v>45926.0</v>
      </c>
      <c r="C164" s="17" t="str">
        <f>HYPERLINK("ASU hydrology expert wins distinguished science award","ASU hydrology expert wins distinguished science award")</f>
        <v>ASU hydrology expert wins distinguished science award</v>
      </c>
      <c r="H164" s="34"/>
      <c r="I164" s="34"/>
      <c r="J164" s="34"/>
      <c r="K164" s="20"/>
      <c r="L164" s="21"/>
      <c r="M164" s="42"/>
      <c r="N164" s="42"/>
      <c r="O164" s="42"/>
      <c r="P164" s="23"/>
      <c r="Q164" s="24"/>
    </row>
    <row r="165">
      <c r="A165" s="102"/>
      <c r="B165" s="104">
        <v>45925.0</v>
      </c>
      <c r="C165" s="102" t="str">
        <f>HYPERLINK("Q&amp;A: How to build AI that enhances human and planetary well-being","Q&amp;A: How to build AI that enhances human and planetary well-being")</f>
        <v>Q&amp;A: How to build AI that enhances human and planetary well-being</v>
      </c>
      <c r="H165" s="34"/>
      <c r="I165" s="34"/>
      <c r="J165" s="34"/>
      <c r="K165" s="20"/>
      <c r="L165" s="21"/>
      <c r="M165" s="42"/>
      <c r="N165" s="42"/>
      <c r="O165" s="42"/>
      <c r="P165" s="23"/>
      <c r="Q165" s="24"/>
    </row>
    <row r="166">
      <c r="A166" s="102"/>
      <c r="B166" s="103">
        <v>45924.0</v>
      </c>
      <c r="C166" s="102" t="str">
        <f>HYPERLINK("From Phoenix heat to Tokyo humidity: ASU facility supports elite marathoner","From Phoenix heat to Tokyo humidity: ASU facility supports elite marathoner")</f>
        <v>From Phoenix heat to Tokyo humidity: ASU facility supports elite marathoner</v>
      </c>
      <c r="H166" s="34"/>
      <c r="I166" s="34"/>
      <c r="J166" s="34"/>
      <c r="K166" s="20"/>
      <c r="L166" s="21"/>
      <c r="M166" s="42"/>
      <c r="N166" s="42"/>
      <c r="O166" s="42"/>
      <c r="P166" s="23"/>
      <c r="Q166" s="24"/>
    </row>
    <row r="167">
      <c r="A167" s="102"/>
      <c r="B167" s="104">
        <v>45922.0</v>
      </c>
      <c r="C167" s="17" t="str">
        <f>HYPERLINK("ASU-Banner conference to spotlight advances in neurodegenerative disease research","ASU-Banner conference to spotlight advances in neurodegenerative disease research")</f>
        <v>ASU-Banner conference to spotlight advances in neurodegenerative disease research</v>
      </c>
      <c r="H167" s="34"/>
      <c r="I167" s="34"/>
      <c r="J167" s="34"/>
      <c r="K167" s="20"/>
      <c r="L167" s="21"/>
      <c r="M167" s="42"/>
      <c r="N167" s="42"/>
      <c r="O167" s="42"/>
      <c r="P167" s="23"/>
      <c r="Q167" s="24"/>
    </row>
    <row r="168">
      <c r="A168" s="102"/>
      <c r="B168" s="103">
        <v>45918.0</v>
      </c>
      <c r="C168" s="17" t="str">
        <f>HYPERLINK("ASU donor’s scholarship continues to spark discovery for students","ASU donor’s scholarship continues to spark discovery for students")</f>
        <v>ASU donor’s scholarship continues to spark discovery for students</v>
      </c>
      <c r="H168" s="34"/>
      <c r="I168" s="34"/>
      <c r="J168" s="34"/>
      <c r="K168" s="20"/>
      <c r="L168" s="21"/>
      <c r="M168" s="42"/>
      <c r="N168" s="42"/>
      <c r="O168" s="42"/>
      <c r="P168" s="23"/>
      <c r="Q168" s="24"/>
    </row>
    <row r="169">
      <c r="A169" s="102"/>
      <c r="B169" s="104">
        <v>45910.0</v>
      </c>
      <c r="C169" s="17" t="str">
        <f>HYPERLINK("New cancer test can warn patients up to 10 years before treatment is needed","New cancer test can warn patients up to 10 years before treatment is needed")</f>
        <v>New cancer test can warn patients up to 10 years before treatment is needed</v>
      </c>
      <c r="H169" s="34"/>
      <c r="I169" s="34"/>
      <c r="J169" s="34"/>
      <c r="K169" s="20"/>
      <c r="L169" s="21"/>
      <c r="M169" s="42"/>
      <c r="N169" s="42"/>
      <c r="O169" s="42"/>
      <c r="P169" s="23"/>
      <c r="Q169" s="24"/>
    </row>
    <row r="170">
      <c r="A170" s="102"/>
      <c r="B170" s="103">
        <v>45897.0</v>
      </c>
      <c r="C170" s="17" t="str">
        <f>HYPERLINK("What you need to know about dust storms and Valley fever | ASU News","What you need to know about dust storms and Valley fever | ASU News")</f>
        <v>What you need to know about dust storms and Valley fever | ASU News</v>
      </c>
      <c r="H170" s="34"/>
      <c r="I170" s="34"/>
      <c r="J170" s="34"/>
      <c r="K170" s="20"/>
      <c r="L170" s="21"/>
      <c r="M170" s="42"/>
      <c r="N170" s="42"/>
      <c r="O170" s="42"/>
      <c r="P170" s="23"/>
      <c r="Q170" s="24"/>
    </row>
    <row r="171">
      <c r="A171" s="102"/>
      <c r="B171" s="104">
        <v>45895.0</v>
      </c>
      <c r="C171" s="17" t="str">
        <f>HYPERLINK("Sewage contamination locations threatening west Hawaiʻi coral reefs","Sewage contamination locations threatening west Hawaiʻi coral reefs")</f>
        <v>Sewage contamination locations threatening west Hawaiʻi coral reefs</v>
      </c>
      <c r="H171" s="34"/>
      <c r="I171" s="34"/>
      <c r="J171" s="34"/>
      <c r="K171" s="20"/>
      <c r="L171" s="21"/>
      <c r="M171" s="42"/>
      <c r="N171" s="42"/>
      <c r="O171" s="42"/>
      <c r="P171" s="23"/>
      <c r="Q171" s="24"/>
    </row>
    <row r="172">
      <c r="A172" s="102"/>
      <c r="B172" s="103">
        <v>45894.0</v>
      </c>
      <c r="C172" s="17" t="str">
        <f>HYPERLINK("Edson seed grants awarded to explore clues behind neurodegenerative diseases","Edson seed grants awarded to explore clues behind neurodegenerative diseases")</f>
        <v>Edson seed grants awarded to explore clues behind neurodegenerative diseases</v>
      </c>
      <c r="H172" s="34"/>
      <c r="I172" s="34"/>
      <c r="J172" s="34"/>
      <c r="K172" s="20"/>
      <c r="L172" s="21"/>
      <c r="M172" s="42"/>
      <c r="N172" s="42"/>
      <c r="O172" s="42"/>
      <c r="P172" s="23"/>
      <c r="Q172" s="24"/>
    </row>
    <row r="173">
      <c r="A173" s="102"/>
      <c r="B173" s="104">
        <v>45894.0</v>
      </c>
      <c r="C173" s="17" t="str">
        <f>HYPERLINK("Discovery could lead to new treatments for life-threatening allergic reactions","Discovery could lead to new treatments for life-threatening allergic reactions")</f>
        <v>Discovery could lead to new treatments for life-threatening allergic reactions</v>
      </c>
      <c r="H173" s="34"/>
      <c r="I173" s="34"/>
      <c r="J173" s="34"/>
      <c r="K173" s="20"/>
      <c r="L173" s="21"/>
      <c r="M173" s="42"/>
      <c r="N173" s="42"/>
      <c r="O173" s="42"/>
      <c r="P173" s="23"/>
      <c r="Q173" s="24"/>
    </row>
    <row r="174">
      <c r="A174" s="102"/>
      <c r="B174" s="103">
        <v>45890.0</v>
      </c>
      <c r="C174" s="17" t="str">
        <f>HYPERLINK("ASU study reveals 'true cost' of milk","ASU study reveals 'true cost' of milk")</f>
        <v>ASU study reveals 'true cost' of milk</v>
      </c>
      <c r="H174" s="34"/>
      <c r="I174" s="34"/>
      <c r="J174" s="34"/>
      <c r="K174" s="20"/>
      <c r="L174" s="21"/>
      <c r="M174" s="42"/>
      <c r="N174" s="42"/>
      <c r="O174" s="42"/>
      <c r="P174" s="23"/>
      <c r="Q174" s="24"/>
    </row>
    <row r="175">
      <c r="A175" s="102"/>
      <c r="B175" s="104">
        <v>45887.0</v>
      </c>
      <c r="C175" s="17" t="str">
        <f>HYPERLINK("ASU welcomes new leader of groundbreaking compact X-ray laser project","ASU welcomes new leader of groundbreaking compact X-ray laser project")</f>
        <v>ASU welcomes new leader of groundbreaking compact X-ray laser project</v>
      </c>
      <c r="H175" s="34"/>
      <c r="I175" s="34"/>
      <c r="J175" s="34"/>
      <c r="K175" s="20"/>
      <c r="L175" s="21"/>
      <c r="M175" s="42"/>
      <c r="N175" s="42"/>
      <c r="O175" s="42"/>
      <c r="P175" s="23"/>
      <c r="Q175" s="24"/>
    </row>
    <row r="176">
      <c r="A176" s="102"/>
      <c r="B176" s="103">
        <v>45881.0</v>
      </c>
      <c r="C176" s="102" t="str">
        <f>HYPERLINK("Fast, accurate, low-cost diagnostics: No lab required | ASU News","Fast, accurate, low-cost diagnostics: No lab required | ASU News")</f>
        <v>Fast, accurate, low-cost diagnostics: No lab required | ASU News</v>
      </c>
      <c r="H176" s="34"/>
      <c r="I176" s="34"/>
      <c r="J176" s="34"/>
      <c r="K176" s="20"/>
      <c r="L176" s="21"/>
      <c r="M176" s="42"/>
      <c r="N176" s="42"/>
      <c r="O176" s="42"/>
      <c r="P176" s="23"/>
      <c r="Q176" s="24"/>
    </row>
    <row r="177">
      <c r="A177" s="102"/>
      <c r="B177" s="104">
        <v>45870.0</v>
      </c>
      <c r="C177" s="17" t="str">
        <f>HYPERLINK("Tiny copper clusters could lead to faster, energy-saving electronics","Tiny copper clusters could lead to faster, energy-saving electronics")</f>
        <v>Tiny copper clusters could lead to faster, energy-saving electronics</v>
      </c>
      <c r="H177" s="34"/>
      <c r="I177" s="34"/>
      <c r="J177" s="34"/>
      <c r="K177" s="20"/>
      <c r="L177" s="21"/>
      <c r="M177" s="42"/>
      <c r="N177" s="42"/>
      <c r="O177" s="42"/>
      <c r="P177" s="23"/>
      <c r="Q177" s="24"/>
    </row>
    <row r="178">
      <c r="A178" s="102"/>
      <c r="B178" s="103">
        <v>45863.0</v>
      </c>
      <c r="C178" s="17" t="str">
        <f>HYPERLINK("New global study shows freshwater is disappearing at alarming rates","New global study shows freshwater is disappearing at alarming rates")</f>
        <v>New global study shows freshwater is disappearing at alarming rates</v>
      </c>
      <c r="H178" s="34"/>
      <c r="I178" s="34"/>
      <c r="J178" s="34"/>
      <c r="K178" s="20"/>
      <c r="L178" s="21"/>
      <c r="M178" s="42"/>
      <c r="N178" s="42"/>
      <c r="O178" s="42"/>
      <c r="P178" s="23"/>
      <c r="Q178" s="24"/>
    </row>
    <row r="179">
      <c r="A179" s="102"/>
      <c r="B179" s="104">
        <v>45856.0</v>
      </c>
      <c r="C179" s="17" t="str">
        <f>HYPERLINK("Study aims to help semiconductor industry be more sustainable","Study aims to help semiconductor industry be more sustainable")</f>
        <v>Study aims to help semiconductor industry be more sustainable</v>
      </c>
      <c r="H179" s="34"/>
      <c r="I179" s="34"/>
      <c r="J179" s="34"/>
      <c r="K179" s="20"/>
      <c r="L179" s="21"/>
      <c r="M179" s="42"/>
      <c r="N179" s="42"/>
      <c r="O179" s="42"/>
      <c r="P179" s="23"/>
      <c r="Q179" s="24"/>
    </row>
    <row r="180">
      <c r="A180" s="102"/>
      <c r="B180" s="103">
        <v>45834.0</v>
      </c>
      <c r="C180" s="17" t="str">
        <f>HYPERLINK("Improving Alzheimer's prevention and care","Improving Alzheimer's prevention and care")</f>
        <v>Improving Alzheimer's prevention and care</v>
      </c>
      <c r="H180" s="34"/>
      <c r="I180" s="34"/>
      <c r="J180" s="34"/>
      <c r="K180" s="20"/>
      <c r="L180" s="21"/>
      <c r="M180" s="42"/>
      <c r="N180" s="42"/>
      <c r="O180" s="42"/>
      <c r="P180" s="23"/>
      <c r="Q180" s="24"/>
    </row>
    <row r="181">
      <c r="A181" s="102"/>
      <c r="B181" s="104">
        <v>45831.0</v>
      </c>
      <c r="C181" s="17" t="str">
        <f>HYPERLINK("New ASU research hunts down drug-resistant superbugs","New ASU research hunts down drug-resistant superbugs")</f>
        <v>New ASU research hunts down drug-resistant superbugs</v>
      </c>
      <c r="H181" s="34"/>
      <c r="I181" s="34"/>
      <c r="J181" s="34"/>
      <c r="K181" s="20"/>
      <c r="L181" s="21"/>
      <c r="M181" s="42"/>
      <c r="N181" s="42"/>
      <c r="O181" s="42"/>
      <c r="P181" s="23"/>
      <c r="Q181" s="24"/>
    </row>
    <row r="182">
      <c r="A182" s="102"/>
      <c r="B182" s="103">
        <v>45820.0</v>
      </c>
      <c r="C182" s="17" t="str">
        <f>HYPERLINK("Gifts support science, students and society at ASU","Gifts support science, students and society at ASU")</f>
        <v>Gifts support science, students and society at ASU</v>
      </c>
      <c r="H182" s="34"/>
      <c r="I182" s="34"/>
      <c r="J182" s="34"/>
      <c r="K182" s="20"/>
      <c r="L182" s="21"/>
      <c r="M182" s="42"/>
      <c r="N182" s="42"/>
      <c r="O182" s="42"/>
      <c r="P182" s="23"/>
      <c r="Q182" s="24"/>
    </row>
    <row r="183">
      <c r="A183" s="102"/>
      <c r="B183" s="104">
        <v>45819.0</v>
      </c>
      <c r="C183" s="17" t="str">
        <f>HYPERLINK("Is your gut microbiome a calorie 'super harvester'?","Is your gut microbiome a calorie 'super harvester'?")</f>
        <v>Is your gut microbiome a calorie 'super harvester'?</v>
      </c>
      <c r="H183" s="34"/>
      <c r="I183" s="34"/>
      <c r="J183" s="34"/>
      <c r="K183" s="20"/>
      <c r="L183" s="21"/>
      <c r="M183" s="42"/>
      <c r="N183" s="42"/>
      <c r="O183" s="42"/>
      <c r="P183" s="23"/>
      <c r="Q183" s="24"/>
    </row>
    <row r="184">
      <c r="A184" s="102"/>
      <c r="B184" s="103">
        <v>45818.0</v>
      </c>
      <c r="C184" s="17" t="str">
        <f>HYPERLINK("ASU helps rural communities tackle local water problems","ASU helps rural communities tackle local water problems")</f>
        <v>ASU helps rural communities tackle local water problems</v>
      </c>
      <c r="H184" s="34"/>
      <c r="I184" s="34"/>
      <c r="J184" s="34"/>
      <c r="K184" s="20"/>
      <c r="L184" s="21"/>
      <c r="M184" s="42"/>
      <c r="N184" s="42"/>
      <c r="O184" s="42"/>
      <c r="P184" s="23"/>
      <c r="Q184" s="24"/>
    </row>
    <row r="185">
      <c r="A185" s="102"/>
      <c r="B185" s="104">
        <v>45814.0</v>
      </c>
      <c r="C185" s="17" t="str">
        <f>HYPERLINK("Water-cleaning bacteria can produce health, economic benefits","Water-cleaning bacteria can produce health, economic benefits")</f>
        <v>Water-cleaning bacteria can produce health, economic benefits</v>
      </c>
      <c r="H185" s="34"/>
      <c r="I185" s="34"/>
      <c r="J185" s="34"/>
      <c r="K185" s="20"/>
      <c r="L185" s="21"/>
      <c r="M185" s="42"/>
      <c r="N185" s="42"/>
      <c r="O185" s="42"/>
      <c r="P185" s="23"/>
      <c r="Q185" s="24"/>
    </row>
    <row r="186">
      <c r="A186" s="102"/>
      <c r="B186" s="103">
        <v>45810.0</v>
      </c>
      <c r="C186" s="17" t="str">
        <f>HYPERLINK("Your crash course on quantum science","Your crash course on quantum science")</f>
        <v>Your crash course on quantum science</v>
      </c>
      <c r="H186" s="34"/>
      <c r="I186" s="34"/>
      <c r="J186" s="34"/>
      <c r="K186" s="20"/>
      <c r="L186" s="21"/>
      <c r="M186" s="42"/>
      <c r="N186" s="42"/>
      <c r="O186" s="42"/>
      <c r="P186" s="23"/>
      <c r="Q186" s="24"/>
    </row>
    <row r="187">
      <c r="A187" s="102"/>
      <c r="B187" s="104">
        <v>45805.0</v>
      </c>
      <c r="C187" s="17" t="str">
        <f>HYPERLINK("ASU researchers blend biology, fantasy in world-building guidebook","ASU researchers blend biology, fantasy in world-building guidebook")</f>
        <v>ASU researchers blend biology, fantasy in world-building guidebook</v>
      </c>
      <c r="H187" s="34"/>
      <c r="I187" s="34"/>
      <c r="J187" s="34"/>
      <c r="K187" s="20"/>
      <c r="L187" s="21"/>
      <c r="M187" s="42"/>
      <c r="N187" s="42"/>
      <c r="O187" s="42"/>
      <c r="P187" s="23"/>
      <c r="Q187" s="24"/>
    </row>
    <row r="188">
      <c r="A188" s="102"/>
      <c r="B188" s="103">
        <v>45786.0</v>
      </c>
      <c r="C188" s="17" t="str">
        <f>HYPERLINK("Can frisky flies save human lives?","Can frisky flies save human lives?")</f>
        <v>Can frisky flies save human lives?</v>
      </c>
      <c r="H188" s="34"/>
      <c r="I188" s="34"/>
      <c r="J188" s="34"/>
      <c r="K188" s="20"/>
      <c r="L188" s="21"/>
      <c r="M188" s="42"/>
      <c r="N188" s="42"/>
      <c r="O188" s="42"/>
      <c r="P188" s="23"/>
      <c r="Q188" s="24"/>
    </row>
    <row r="189">
      <c r="A189" s="102"/>
      <c r="B189" s="104">
        <v>45782.0</v>
      </c>
      <c r="C189" s="17" t="str">
        <f>HYPERLINK("ASU invention helps people worldwide reach weight goals","ASU invention helps people worldwide reach weight goals")</f>
        <v>ASU invention helps people worldwide reach weight goals</v>
      </c>
      <c r="H189" s="34"/>
      <c r="I189" s="34"/>
      <c r="J189" s="34"/>
      <c r="K189" s="20"/>
      <c r="L189" s="21"/>
      <c r="M189" s="42"/>
      <c r="N189" s="42"/>
      <c r="O189" s="42"/>
      <c r="P189" s="23"/>
      <c r="Q189" s="24"/>
    </row>
    <row r="190">
      <c r="A190" s="102"/>
      <c r="B190" s="103">
        <v>45779.0</v>
      </c>
      <c r="C190" s="102" t="str">
        <f>HYPERLINK("From sea turtles to science policy: How this ASU grad found his path to a PhD","From sea turtles to science policy: How this ASU grad found his path to a PhD")</f>
        <v>From sea turtles to science policy: How this ASU grad found his path to a PhD</v>
      </c>
      <c r="H190" s="34"/>
      <c r="I190" s="34"/>
      <c r="J190" s="34"/>
      <c r="K190" s="20"/>
      <c r="L190" s="21"/>
      <c r="M190" s="42"/>
      <c r="N190" s="42"/>
      <c r="O190" s="42"/>
      <c r="P190" s="23"/>
      <c r="Q190" s="24"/>
    </row>
    <row r="191">
      <c r="A191" s="102"/>
      <c r="B191" s="104">
        <v>45778.0</v>
      </c>
      <c r="C191" s="17" t="str">
        <f>HYPERLINK("Mentorship helped ASU graduate find passion for immunology","Mentorship helped ASU graduate find passion for immunology")</f>
        <v>Mentorship helped ASU graduate find passion for immunology</v>
      </c>
      <c r="H191" s="34"/>
      <c r="I191" s="34"/>
      <c r="J191" s="34"/>
      <c r="K191" s="20"/>
      <c r="L191" s="21"/>
      <c r="M191" s="42"/>
      <c r="N191" s="42"/>
      <c r="O191" s="42"/>
      <c r="P191" s="23"/>
      <c r="Q191" s="24"/>
    </row>
    <row r="192">
      <c r="A192" s="102"/>
      <c r="B192" s="103">
        <v>45778.0</v>
      </c>
      <c r="C192" s="17" t="str">
        <f>HYPERLINK("ASU grad heads to Harvard after exploring connection between allergies and the brain","ASU grad heads to Harvard after exploring connection between allergies and the brain")</f>
        <v>ASU grad heads to Harvard after exploring connection between allergies and the brain</v>
      </c>
      <c r="H192" s="34"/>
      <c r="I192" s="34"/>
      <c r="J192" s="34"/>
      <c r="K192" s="20"/>
      <c r="L192" s="21"/>
      <c r="M192" s="42"/>
      <c r="N192" s="42"/>
      <c r="O192" s="42"/>
      <c r="P192" s="23"/>
      <c r="Q192" s="24"/>
    </row>
    <row r="193">
      <c r="A193" s="102"/>
      <c r="B193" s="104">
        <v>45778.0</v>
      </c>
      <c r="C193" s="17" t="str">
        <f>HYPERLINK("ASU MBA graduate's journey from cancer research to business leadership","ASU MBA graduate's journey from cancer research to business leadership")</f>
        <v>ASU MBA graduate's journey from cancer research to business leadership</v>
      </c>
      <c r="H193" s="34"/>
      <c r="I193" s="34"/>
      <c r="J193" s="34"/>
      <c r="K193" s="20"/>
      <c r="L193" s="21"/>
      <c r="M193" s="42"/>
      <c r="N193" s="42"/>
      <c r="O193" s="42"/>
      <c r="P193" s="23"/>
      <c r="Q193" s="24"/>
    </row>
    <row r="194">
      <c r="A194" s="102"/>
      <c r="B194" s="103">
        <v>45777.0</v>
      </c>
      <c r="C194" s="17" t="str">
        <f>HYPERLINK("ASU launches SPORTx, a new initiative to unite sports and entrepreneurship","ASU launches SPORTx, a new initiative to unite sports and entrepreneurship")</f>
        <v>ASU launches SPORTx, a new initiative to unite sports and entrepreneurship</v>
      </c>
      <c r="H194" s="34"/>
      <c r="I194" s="34"/>
      <c r="J194" s="34"/>
      <c r="K194" s="20"/>
      <c r="L194" s="21"/>
      <c r="M194" s="42"/>
      <c r="N194" s="42"/>
      <c r="O194" s="42"/>
      <c r="P194" s="23"/>
      <c r="Q194" s="24"/>
    </row>
    <row r="195">
      <c r="A195" s="102"/>
      <c r="B195" s="104">
        <v>45768.0</v>
      </c>
      <c r="C195" s="17" t="str">
        <f>HYPERLINK("Majority of American religious leaders silently believe in climate change, ASU study shows","Majority of American religious leaders silently believe in climate change, ASU study shows")</f>
        <v>Majority of American religious leaders silently believe in climate change, ASU study shows</v>
      </c>
      <c r="H195" s="34"/>
      <c r="I195" s="34"/>
      <c r="J195" s="34"/>
      <c r="K195" s="20"/>
      <c r="L195" s="21"/>
      <c r="M195" s="42"/>
      <c r="N195" s="42"/>
      <c r="O195" s="42"/>
      <c r="P195" s="23"/>
      <c r="Q195" s="24"/>
    </row>
    <row r="196">
      <c r="A196" s="102"/>
      <c r="B196" s="103">
        <v>45765.0</v>
      </c>
      <c r="C196" s="102" t="str">
        <f>HYPERLINK("Bird flu: Your questions on symptoms, spread and safety answered","Bird flu: Your questions on symptoms, spread and safety answered")</f>
        <v>Bird flu: Your questions on symptoms, spread and safety answered</v>
      </c>
      <c r="H196" s="34"/>
      <c r="I196" s="34"/>
      <c r="J196" s="34"/>
      <c r="K196" s="20"/>
      <c r="L196" s="21"/>
      <c r="M196" s="42"/>
      <c r="N196" s="42"/>
      <c r="O196" s="42"/>
      <c r="P196" s="23"/>
      <c r="Q196" s="24"/>
    </row>
    <row r="197">
      <c r="A197" s="102"/>
      <c r="B197" s="104">
        <v>45765.0</v>
      </c>
      <c r="C197" s="17" t="str">
        <f>HYPERLINK("From K-12 to corporate upskilling, ASU guides learners of all ages to design a sustainable future","From K-12 to corporate upskilling, ASU guides learners of all ages to design a sustainable future")</f>
        <v>From K-12 to corporate upskilling, ASU guides learners of all ages to design a sustainable future</v>
      </c>
      <c r="H197" s="34"/>
      <c r="I197" s="34"/>
      <c r="J197" s="34"/>
      <c r="K197" s="20"/>
      <c r="L197" s="21"/>
      <c r="M197" s="42"/>
      <c r="N197" s="42"/>
      <c r="O197" s="42"/>
      <c r="P197" s="23"/>
      <c r="Q197" s="24"/>
    </row>
    <row r="198">
      <c r="A198" s="102"/>
      <c r="B198" s="103">
        <v>45761.0</v>
      </c>
      <c r="C198" s="17" t="str">
        <f>HYPERLINK("Fighting the fungus among us","Fighting the fungus among us")</f>
        <v>Fighting the fungus among us</v>
      </c>
      <c r="H198" s="34"/>
      <c r="I198" s="34"/>
      <c r="J198" s="34"/>
      <c r="K198" s="20"/>
      <c r="L198" s="21"/>
      <c r="M198" s="42"/>
      <c r="N198" s="42"/>
      <c r="O198" s="42"/>
      <c r="P198" s="23"/>
      <c r="Q198" s="24"/>
    </row>
    <row r="199">
      <c r="A199" s="102"/>
      <c r="B199" s="104">
        <v>45749.0</v>
      </c>
      <c r="C199" s="102" t="str">
        <f>HYPERLINK("From ASU to the Amazon: Student bridges communities with solar canoe project","From ASU to the Amazon: Student bridges communities with solar canoe project")</f>
        <v>From ASU to the Amazon: Student bridges communities with solar canoe project</v>
      </c>
      <c r="H199" s="34"/>
      <c r="I199" s="34"/>
      <c r="J199" s="34"/>
      <c r="K199" s="20"/>
      <c r="L199" s="21"/>
      <c r="M199" s="42"/>
      <c r="N199" s="42"/>
      <c r="O199" s="42"/>
      <c r="P199" s="23"/>
      <c r="Q199" s="24"/>
    </row>
    <row r="200">
      <c r="A200" s="102"/>
      <c r="B200" s="103">
        <v>45744.0</v>
      </c>
      <c r="C200" s="17" t="str">
        <f>HYPERLINK("4 ASU researchers named Senior Members of the National Academy of Inventors","4 ASU researchers named Senior Members of the National Academy of Inventors")</f>
        <v>4 ASU researchers named Senior Members of the National Academy of Inventors</v>
      </c>
      <c r="H200" s="34"/>
      <c r="I200" s="34"/>
      <c r="J200" s="34"/>
      <c r="K200" s="20"/>
      <c r="L200" s="21"/>
      <c r="M200" s="42"/>
      <c r="N200" s="42"/>
      <c r="O200" s="42"/>
      <c r="P200" s="23"/>
      <c r="Q200" s="24"/>
    </row>
    <row r="201">
      <c r="A201" s="102"/>
      <c r="B201" s="104">
        <v>45742.0</v>
      </c>
      <c r="C201" s="17" t="str">
        <f>HYPERLINK("ASU and GoDaddy launch Student Athlete Venture Studio","ASU and GoDaddy launch Student Athlete Venture Studio")</f>
        <v>ASU and GoDaddy launch Student Athlete Venture Studio</v>
      </c>
      <c r="H201" s="34"/>
      <c r="I201" s="34"/>
      <c r="J201" s="34"/>
      <c r="K201" s="20"/>
      <c r="L201" s="21"/>
      <c r="M201" s="42"/>
      <c r="N201" s="42"/>
      <c r="O201" s="42"/>
      <c r="P201" s="23"/>
      <c r="Q201" s="24"/>
    </row>
    <row r="202">
      <c r="A202" s="102"/>
      <c r="B202" s="103">
        <v>45741.0</v>
      </c>
      <c r="C202" s="17" t="str">
        <f>HYPERLINK("ASU students win big at homeland security design challenge","ASU students win big at homeland security design challenge")</f>
        <v>ASU students win big at homeland security design challenge</v>
      </c>
      <c r="H202" s="34"/>
      <c r="I202" s="34"/>
      <c r="J202" s="34"/>
      <c r="K202" s="20"/>
      <c r="L202" s="21"/>
      <c r="M202" s="42"/>
      <c r="N202" s="42"/>
      <c r="O202" s="42"/>
      <c r="P202" s="23"/>
      <c r="Q202" s="24"/>
    </row>
    <row r="203">
      <c r="A203" s="102"/>
      <c r="B203" s="104">
        <v>45740.0</v>
      </c>
      <c r="C203" s="102" t="str">
        <f>HYPERLINK("Swarm science: Oral bacteria move in waves to spread and survive","Swarm science: Oral bacteria move in waves to spread and survive")</f>
        <v>Swarm science: Oral bacteria move in waves to spread and survive</v>
      </c>
      <c r="H203" s="34"/>
      <c r="I203" s="34"/>
      <c r="J203" s="34"/>
      <c r="K203" s="20"/>
      <c r="L203" s="21"/>
      <c r="M203" s="42"/>
      <c r="N203" s="42"/>
      <c r="O203" s="42"/>
      <c r="P203" s="23"/>
      <c r="Q203" s="24"/>
    </row>
    <row r="204">
      <c r="A204" s="102"/>
      <c r="B204" s="103">
        <v>45736.0</v>
      </c>
      <c r="C204" s="17" t="str">
        <f>HYPERLINK("Dynamic data duo advances health research","Dynamic data duo advances health research")</f>
        <v>Dynamic data duo advances health research</v>
      </c>
      <c r="H204" s="34"/>
      <c r="I204" s="34"/>
      <c r="J204" s="34"/>
      <c r="K204" s="20"/>
      <c r="L204" s="21"/>
      <c r="M204" s="42"/>
      <c r="N204" s="42"/>
      <c r="O204" s="42"/>
      <c r="P204" s="23"/>
      <c r="Q204" s="24"/>
    </row>
    <row r="205">
      <c r="A205" s="102"/>
      <c r="B205" s="104">
        <v>45735.0</v>
      </c>
      <c r="C205" s="17" t="str">
        <f>HYPERLINK("New cancer treatment disrupts tumor growth","New cancer treatment disrupts tumor growth")</f>
        <v>New cancer treatment disrupts tumor growth</v>
      </c>
      <c r="H205" s="34"/>
      <c r="I205" s="34"/>
      <c r="J205" s="34"/>
      <c r="K205" s="20"/>
      <c r="L205" s="21"/>
      <c r="M205" s="42"/>
      <c r="N205" s="42"/>
      <c r="O205" s="42"/>
      <c r="P205" s="23"/>
      <c r="Q205" s="24"/>
    </row>
    <row r="206">
      <c r="A206" s="102"/>
      <c r="B206" s="103">
        <v>45728.0</v>
      </c>
      <c r="C206" s="17" t="str">
        <f>HYPERLINK("New study explores the link between diet, blood sugar and cancer risk across species","New study explores the link between diet, blood sugar and cancer risk across species")</f>
        <v>New study explores the link between diet, blood sugar and cancer risk across species</v>
      </c>
      <c r="H206" s="34"/>
      <c r="I206" s="34"/>
      <c r="J206" s="34"/>
      <c r="K206" s="20"/>
      <c r="L206" s="21"/>
      <c r="M206" s="42"/>
      <c r="N206" s="42"/>
      <c r="O206" s="42"/>
      <c r="P206" s="23"/>
      <c r="Q206" s="24"/>
    </row>
    <row r="207">
      <c r="A207" s="102"/>
      <c r="B207" s="104">
        <v>45728.0</v>
      </c>
      <c r="C207" s="17" t="str">
        <f>HYPERLINK("ASU-led Southwest Sustainability Innovation Engine funds 8 promising tech startups","ASU-led Southwest Sustainability Innovation Engine funds 8 promising tech startups")</f>
        <v>ASU-led Southwest Sustainability Innovation Engine funds 8 promising tech startups</v>
      </c>
      <c r="H207" s="34"/>
      <c r="I207" s="34"/>
      <c r="J207" s="34"/>
      <c r="K207" s="20"/>
      <c r="L207" s="21"/>
      <c r="M207" s="42"/>
      <c r="N207" s="42"/>
      <c r="O207" s="42"/>
      <c r="P207" s="23"/>
      <c r="Q207" s="24"/>
    </row>
    <row r="208">
      <c r="A208" s="102"/>
      <c r="B208" s="103">
        <v>45713.0</v>
      </c>
      <c r="C208" s="17" t="str">
        <f>HYPERLINK("Ramon Velazquez discuses brain health and disease","Ramon Velazquez discuses brain health and disease")</f>
        <v>Ramon Velazquez discuses brain health and disease</v>
      </c>
      <c r="H208" s="34"/>
      <c r="I208" s="34"/>
      <c r="J208" s="34"/>
      <c r="K208" s="20"/>
      <c r="L208" s="21"/>
      <c r="M208" s="42"/>
      <c r="N208" s="42"/>
      <c r="O208" s="42"/>
      <c r="P208" s="23"/>
      <c r="Q208" s="24"/>
    </row>
    <row r="209">
      <c r="A209" s="102"/>
      <c r="B209" s="104">
        <v>45709.0</v>
      </c>
      <c r="C209" s="17" t="str">
        <f>HYPERLINK("Ancient sea creatures offer fresh insights into cancer","Ancient sea creatures offer fresh insights into cancer")</f>
        <v>Ancient sea creatures offer fresh insights into cancer</v>
      </c>
      <c r="H209" s="34"/>
      <c r="I209" s="34"/>
      <c r="J209" s="34"/>
      <c r="K209" s="20"/>
      <c r="L209" s="21"/>
      <c r="M209" s="42"/>
      <c r="N209" s="42"/>
      <c r="O209" s="42"/>
      <c r="P209" s="23"/>
      <c r="Q209" s="24"/>
    </row>
    <row r="210">
      <c r="A210" s="102"/>
      <c r="B210" s="103">
        <v>45705.0</v>
      </c>
      <c r="C210" s="17" t="str">
        <f>HYPERLINK("Newly identified viruses found in dolphins","Newly identified viruses found in dolphins")</f>
        <v>Newly identified viruses found in dolphins</v>
      </c>
      <c r="H210" s="34"/>
      <c r="I210" s="34"/>
      <c r="J210" s="34"/>
      <c r="K210" s="20"/>
      <c r="L210" s="21"/>
      <c r="M210" s="42"/>
      <c r="N210" s="42"/>
      <c r="O210" s="42"/>
      <c r="P210" s="23"/>
      <c r="Q210" s="24"/>
    </row>
    <row r="211">
      <c r="A211" s="102"/>
      <c r="B211" s="104">
        <v>45687.0</v>
      </c>
      <c r="C211" s="17" t="str">
        <f>HYPERLINK("Adventurer and space visionary embarks on a new journey at ASU","Adventurer and space visionary embarks on a new journey at ASU")</f>
        <v>Adventurer and space visionary embarks on a new journey at ASU</v>
      </c>
      <c r="H211" s="34"/>
      <c r="I211" s="34"/>
      <c r="J211" s="34"/>
      <c r="K211" s="20"/>
      <c r="L211" s="21"/>
      <c r="M211" s="42"/>
      <c r="N211" s="42"/>
      <c r="O211" s="42"/>
      <c r="P211" s="23"/>
      <c r="Q211" s="24"/>
    </row>
    <row r="212">
      <c r="A212" s="102"/>
      <c r="B212" s="103">
        <v>45663.0</v>
      </c>
      <c r="C212" s="102" t="str">
        <f>HYPERLINK("Securing borders and supply chains and improving efficiency: Q&amp;A with Ross Maciejewski","Securing borders and supply chains and improving efficiency: Q&amp;A with Ross Maciejewski")</f>
        <v>Securing borders and supply chains and improving efficiency: Q&amp;A with Ross Maciejewski</v>
      </c>
      <c r="H212" s="34"/>
      <c r="I212" s="34"/>
      <c r="J212" s="34"/>
      <c r="K212" s="20"/>
      <c r="L212" s="21"/>
      <c r="M212" s="42"/>
      <c r="N212" s="42"/>
      <c r="O212" s="42"/>
      <c r="P212" s="23"/>
      <c r="Q212" s="24"/>
    </row>
    <row r="213">
      <c r="A213" s="102"/>
      <c r="B213" s="104">
        <v>45646.0</v>
      </c>
      <c r="C213" s="102" t="str">
        <f>HYPERLINK("The rise of human-machine teams: Q&amp;A with Jamie Gorman","The rise of human-machine teams: Q&amp;A with Jamie Gorman")</f>
        <v>The rise of human-machine teams: Q&amp;A with Jamie Gorman</v>
      </c>
      <c r="H213" s="34"/>
      <c r="I213" s="34"/>
      <c r="J213" s="34"/>
      <c r="K213" s="20"/>
      <c r="L213" s="21"/>
      <c r="M213" s="42"/>
      <c r="N213" s="42"/>
      <c r="O213" s="42"/>
      <c r="P213" s="23"/>
      <c r="Q213" s="24"/>
    </row>
    <row r="214">
      <c r="A214" s="102"/>
      <c r="B214" s="103">
        <v>45628.0</v>
      </c>
      <c r="C214" s="17" t="str">
        <f>HYPERLINK("Pettinger to guide Southwest Sustainability Innovation Engine's sustainable technologies to market","Pettinger to guide Southwest Sustainability Innovation Engine's sustainable technologies to market")</f>
        <v>Pettinger to guide Southwest Sustainability Innovation Engine's sustainable technologies to market</v>
      </c>
      <c r="H214" s="34"/>
      <c r="I214" s="34"/>
      <c r="J214" s="34"/>
      <c r="K214" s="20"/>
      <c r="L214" s="21"/>
      <c r="M214" s="42"/>
      <c r="N214" s="42"/>
      <c r="O214" s="42"/>
      <c r="P214" s="23"/>
      <c r="Q214" s="24"/>
    </row>
    <row r="215">
      <c r="A215" s="102"/>
      <c r="B215" s="104">
        <v>45616.0</v>
      </c>
      <c r="C215" s="17" t="str">
        <f>HYPERLINK("A world full of plastic ... not fantastic","A world full of plastic ... not fantastic")</f>
        <v>A world full of plastic ... not fantastic</v>
      </c>
      <c r="H215" s="34"/>
      <c r="I215" s="34"/>
      <c r="J215" s="34"/>
      <c r="K215" s="20"/>
      <c r="L215" s="21"/>
      <c r="M215" s="42"/>
      <c r="N215" s="42"/>
      <c r="O215" s="42"/>
      <c r="P215" s="23"/>
      <c r="Q215" s="24"/>
    </row>
    <row r="216">
      <c r="A216" s="102"/>
      <c r="B216" s="103">
        <v>45596.0</v>
      </c>
      <c r="C216" s="17" t="str">
        <f>HYPERLINK("DEF CON Academy looks to serve, build community","DEF CON Academy looks to serve, build community")</f>
        <v>DEF CON Academy looks to serve, build community</v>
      </c>
      <c r="H216" s="34"/>
      <c r="I216" s="34"/>
      <c r="J216" s="34"/>
      <c r="K216" s="20"/>
      <c r="L216" s="21"/>
      <c r="M216" s="42"/>
      <c r="N216" s="42"/>
      <c r="O216" s="42"/>
      <c r="P216" s="23"/>
      <c r="Q216" s="24"/>
    </row>
    <row r="217">
      <c r="A217" s="102"/>
      <c r="B217" s="104">
        <v>45596.0</v>
      </c>
      <c r="C217" s="17" t="str">
        <f>HYPERLINK("ASU Carbon Summit displays sustainability leadership, collaboration and ... electric motorcycles","ASU Carbon Summit displays sustainability leadership, collaboration and ... electric motorcycles")</f>
        <v>ASU Carbon Summit displays sustainability leadership, collaboration and ... electric motorcycles</v>
      </c>
      <c r="H217" s="34"/>
      <c r="I217" s="34"/>
      <c r="J217" s="34"/>
      <c r="K217" s="20"/>
      <c r="L217" s="21"/>
      <c r="M217" s="42"/>
      <c r="N217" s="42"/>
      <c r="O217" s="42"/>
      <c r="P217" s="23"/>
      <c r="Q217" s="24"/>
    </row>
    <row r="218">
      <c r="A218" s="102"/>
      <c r="B218" s="103">
        <v>45595.0</v>
      </c>
      <c r="C218" s="17" t="str">
        <f>HYPERLINK("Revolutionizing health through bioelectronics and biosensors","Revolutionizing health through bioelectronics and biosensors")</f>
        <v>Revolutionizing health through bioelectronics and biosensors</v>
      </c>
      <c r="H218" s="34"/>
      <c r="I218" s="34"/>
      <c r="J218" s="34"/>
      <c r="K218" s="20"/>
      <c r="L218" s="21"/>
      <c r="M218" s="42"/>
      <c r="N218" s="42"/>
      <c r="O218" s="42"/>
      <c r="P218" s="23"/>
      <c r="Q218" s="24"/>
    </row>
    <row r="219">
      <c r="A219" s="102"/>
      <c r="B219" s="104">
        <v>45595.0</v>
      </c>
      <c r="C219" s="102" t="str">
        <f>HYPERLINK("Charles Redman, founder of the School of Sustainability, faces a new adventure: Retirement","Charles Redman, founder of the School of Sustainability, faces a new adventure: Retirement")</f>
        <v>Charles Redman, founder of the School of Sustainability, faces a new adventure: Retirement</v>
      </c>
      <c r="H219" s="34"/>
      <c r="I219" s="34"/>
      <c r="J219" s="34"/>
      <c r="K219" s="20"/>
      <c r="L219" s="21"/>
      <c r="M219" s="42"/>
      <c r="N219" s="42"/>
      <c r="O219" s="42"/>
      <c r="P219" s="23"/>
      <c r="Q219" s="24"/>
    </row>
    <row r="220">
      <c r="A220" s="102"/>
      <c r="B220" s="103">
        <v>45593.0</v>
      </c>
      <c r="C220" s="17" t="str">
        <f>HYPERLINK("2 killer Halloween projects from ASU’s monster expert","2 killer Halloween projects from ASU’s monster expert")</f>
        <v>2 killer Halloween projects from ASU’s monster expert</v>
      </c>
      <c r="H220" s="34"/>
      <c r="I220" s="34"/>
      <c r="J220" s="34"/>
      <c r="K220" s="20"/>
      <c r="L220" s="21"/>
      <c r="M220" s="42"/>
      <c r="N220" s="42"/>
      <c r="O220" s="42"/>
      <c r="P220" s="23"/>
      <c r="Q220" s="24"/>
    </row>
    <row r="221">
      <c r="A221" s="102"/>
      <c r="B221" s="104">
        <v>45593.0</v>
      </c>
      <c r="C221" s="17" t="str">
        <f>HYPERLINK("10 climate insights to guide our future","10 climate insights to guide our future")</f>
        <v>10 climate insights to guide our future</v>
      </c>
      <c r="H221" s="34"/>
      <c r="I221" s="34"/>
      <c r="J221" s="34"/>
      <c r="K221" s="20"/>
      <c r="L221" s="21"/>
      <c r="M221" s="42"/>
      <c r="N221" s="42"/>
      <c r="O221" s="42"/>
      <c r="P221" s="23"/>
      <c r="Q221" s="24"/>
    </row>
    <row r="222">
      <c r="A222" s="102"/>
      <c r="B222" s="103">
        <v>45589.0</v>
      </c>
      <c r="C222" s="17" t="str">
        <f>HYPERLINK("Meet 3 ASU cybersecurity researchers advancing a more secure future","Meet 3 ASU cybersecurity researchers advancing a more secure future")</f>
        <v>Meet 3 ASU cybersecurity researchers advancing a more secure future</v>
      </c>
      <c r="H222" s="34"/>
      <c r="I222" s="34"/>
      <c r="J222" s="34"/>
      <c r="K222" s="20"/>
      <c r="L222" s="21"/>
      <c r="M222" s="42"/>
      <c r="N222" s="42"/>
      <c r="O222" s="42"/>
      <c r="P222" s="23"/>
      <c r="Q222" s="24"/>
    </row>
    <row r="223">
      <c r="A223" s="102"/>
      <c r="B223" s="104">
        <v>45586.0</v>
      </c>
      <c r="C223" s="17" t="str">
        <f>HYPERLINK("Exploring molecules in motion","Exploring molecules in motion")</f>
        <v>Exploring molecules in motion</v>
      </c>
      <c r="H223" s="34"/>
      <c r="I223" s="34"/>
      <c r="J223" s="34"/>
      <c r="K223" s="20"/>
      <c r="L223" s="21"/>
      <c r="M223" s="42"/>
      <c r="N223" s="42"/>
      <c r="O223" s="42"/>
      <c r="P223" s="23"/>
      <c r="Q223" s="24"/>
    </row>
    <row r="224">
      <c r="A224" s="102"/>
      <c r="B224" s="103">
        <v>45579.0</v>
      </c>
      <c r="C224" s="17" t="str">
        <f>HYPERLINK("Stephanie Forrest’s unique integration of computation, biology and health","Stephanie Forrest’s unique integration of computation, biology and health")</f>
        <v>Stephanie Forrest’s unique integration of computation, biology and health</v>
      </c>
      <c r="H224" s="34"/>
      <c r="I224" s="34"/>
      <c r="J224" s="34"/>
      <c r="K224" s="20"/>
      <c r="L224" s="21"/>
      <c r="M224" s="42"/>
      <c r="N224" s="42"/>
      <c r="O224" s="42"/>
      <c r="P224" s="23"/>
      <c r="Q224" s="24"/>
    </row>
    <row r="225">
      <c r="A225" s="102"/>
      <c r="B225" s="104">
        <v>45573.0</v>
      </c>
      <c r="C225" s="17" t="str">
        <f>HYPERLINK("ASU-led initiative announces first decarbonization projects for US industry","ASU-led initiative announces first decarbonization projects for US industry")</f>
        <v>ASU-led initiative announces first decarbonization projects for US industry</v>
      </c>
      <c r="H225" s="34"/>
      <c r="I225" s="34"/>
      <c r="J225" s="34"/>
      <c r="K225" s="20"/>
      <c r="L225" s="21"/>
      <c r="M225" s="42"/>
      <c r="N225" s="42"/>
      <c r="O225" s="42"/>
      <c r="P225" s="23"/>
      <c r="Q225" s="24"/>
    </row>
    <row r="226">
      <c r="A226" s="102"/>
      <c r="B226" s="103">
        <v>45569.0</v>
      </c>
      <c r="C226" s="17" t="str">
        <f>HYPERLINK("8 ways to protect wildlife","8 ways to protect wildlife")</f>
        <v>8 ways to protect wildlife</v>
      </c>
      <c r="H226" s="34"/>
      <c r="I226" s="34"/>
      <c r="J226" s="34"/>
      <c r="K226" s="20"/>
      <c r="L226" s="21"/>
      <c r="M226" s="42"/>
      <c r="N226" s="42"/>
      <c r="O226" s="42"/>
      <c r="P226" s="23"/>
      <c r="Q226" s="24"/>
    </row>
    <row r="227">
      <c r="A227" s="102"/>
      <c r="B227" s="104">
        <v>45568.0</v>
      </c>
      <c r="C227" s="17" t="str">
        <f>HYPERLINK("In the Biodesign Center for Single Molecule Biophysics, the little things add up","In the Biodesign Center for Single Molecule Biophysics, the little things add up")</f>
        <v>In the Biodesign Center for Single Molecule Biophysics, the little things add up</v>
      </c>
      <c r="H227" s="34"/>
      <c r="I227" s="34"/>
      <c r="J227" s="34"/>
      <c r="K227" s="20"/>
      <c r="L227" s="21"/>
      <c r="M227" s="42"/>
      <c r="N227" s="42"/>
      <c r="O227" s="42"/>
      <c r="P227" s="23"/>
      <c r="Q227" s="24"/>
    </row>
    <row r="228">
      <c r="A228" s="102"/>
      <c r="B228" s="103">
        <v>45566.0</v>
      </c>
      <c r="C228" s="102" t="str">
        <f>HYPERLINK("Better together: ASU Biodesign thrives on collaboration","Better together: ASU Biodesign thrives on collaboration")</f>
        <v>Better together: ASU Biodesign thrives on collaboration</v>
      </c>
      <c r="H228" s="34"/>
      <c r="I228" s="34"/>
      <c r="J228" s="34"/>
      <c r="K228" s="20"/>
      <c r="L228" s="21"/>
      <c r="M228" s="42"/>
      <c r="N228" s="42"/>
      <c r="O228" s="42"/>
      <c r="P228" s="23"/>
      <c r="Q228" s="24"/>
    </row>
    <row r="229">
      <c r="A229" s="102"/>
      <c r="B229" s="104">
        <v>45565.0</v>
      </c>
      <c r="C229" s="17" t="str">
        <f>HYPERLINK("Lara Ferry Promoted to Vice President of research at ASU's Knowledge Enterprise","Lara Ferry Promoted to Vice President of research at ASU's Knowledge Enterprise")</f>
        <v>Lara Ferry Promoted to Vice President of research at ASU's Knowledge Enterprise</v>
      </c>
      <c r="H229" s="34"/>
      <c r="I229" s="34"/>
      <c r="J229" s="34"/>
      <c r="K229" s="20"/>
      <c r="L229" s="21"/>
      <c r="M229" s="42"/>
      <c r="N229" s="42"/>
      <c r="O229" s="42"/>
      <c r="P229" s="23"/>
      <c r="Q229" s="24"/>
    </row>
    <row r="230">
      <c r="A230" s="102"/>
      <c r="B230" s="103">
        <v>45554.0</v>
      </c>
      <c r="C230" s="102" t="str">
        <f>HYPERLINK("Sustaining connections: ASU alumnae bring youth climate conference to their alma mater","Sustaining connections: ASU alumnae bring youth climate conference to their alma mater")</f>
        <v>Sustaining connections: ASU alumnae bring youth climate conference to their alma mater</v>
      </c>
      <c r="H230" s="34"/>
      <c r="I230" s="34"/>
      <c r="J230" s="34"/>
      <c r="K230" s="20"/>
      <c r="L230" s="21"/>
      <c r="M230" s="42"/>
      <c r="N230" s="42"/>
      <c r="O230" s="42"/>
      <c r="P230" s="23"/>
      <c r="Q230" s="24"/>
    </row>
    <row r="231">
      <c r="A231" s="102"/>
      <c r="B231" s="104">
        <v>45538.0</v>
      </c>
      <c r="C231" s="102" t="str">
        <f>HYPERLINK("Navigating uncharted waters: ASU drives solutions for water resilience","Navigating uncharted waters: ASU drives solutions for water resilience")</f>
        <v>Navigating uncharted waters: ASU drives solutions for water resilience</v>
      </c>
      <c r="H231" s="34"/>
      <c r="I231" s="34"/>
      <c r="J231" s="34"/>
      <c r="K231" s="20"/>
      <c r="L231" s="21"/>
      <c r="M231" s="42"/>
      <c r="N231" s="42"/>
      <c r="O231" s="42"/>
      <c r="P231" s="23"/>
      <c r="Q231" s="24"/>
    </row>
    <row r="232">
      <c r="A232" s="102"/>
      <c r="B232" s="103">
        <v>45534.0</v>
      </c>
      <c r="C232" s="102" t="str">
        <f>HYPERLINK("Simulating climate interventions: Experts work toward climate resilient future at recent event","Simulating climate interventions: Experts work toward climate resilient future at recent event")</f>
        <v>Simulating climate interventions: Experts work toward climate resilient future at recent event</v>
      </c>
      <c r="H232" s="34"/>
      <c r="I232" s="34"/>
      <c r="J232" s="34"/>
      <c r="K232" s="20"/>
      <c r="L232" s="21"/>
      <c r="M232" s="42"/>
      <c r="N232" s="42"/>
      <c r="O232" s="42"/>
      <c r="P232" s="23"/>
      <c r="Q232" s="24"/>
    </row>
    <row r="233">
      <c r="A233" s="102"/>
      <c r="B233" s="104">
        <v>45519.0</v>
      </c>
      <c r="C233" s="17" t="str">
        <f>HYPERLINK("Arizona public health leader to direct Health Observatory at ASU","Arizona public health leader to direct Health Observatory at ASU")</f>
        <v>Arizona public health leader to direct Health Observatory at ASU</v>
      </c>
      <c r="H233" s="34"/>
      <c r="I233" s="34"/>
      <c r="J233" s="34"/>
      <c r="K233" s="20"/>
      <c r="L233" s="21"/>
      <c r="M233" s="42"/>
      <c r="N233" s="42"/>
      <c r="O233" s="42"/>
      <c r="P233" s="23"/>
      <c r="Q233" s="24"/>
    </row>
    <row r="234">
      <c r="A234" s="102"/>
      <c r="B234" s="103">
        <v>45518.0</v>
      </c>
      <c r="C234" s="17" t="str">
        <f>HYPERLINK("This ASU lab brings the energy","This ASU lab brings the energy")</f>
        <v>This ASU lab brings the energy</v>
      </c>
      <c r="H234" s="34"/>
      <c r="I234" s="34"/>
      <c r="J234" s="34"/>
      <c r="K234" s="20"/>
      <c r="L234" s="21"/>
      <c r="M234" s="42"/>
      <c r="N234" s="42"/>
      <c r="O234" s="42"/>
      <c r="P234" s="23"/>
      <c r="Q234" s="24"/>
    </row>
    <row r="235">
      <c r="A235" s="102"/>
      <c r="B235" s="104">
        <v>45518.0</v>
      </c>
      <c r="C235" s="17" t="str">
        <f>HYPERLINK("USTDA director joins policymakers, business leaders in conversation about clean energy collaboration","USTDA director joins policymakers, business leaders in conversation about clean energy collaboration")</f>
        <v>USTDA director joins policymakers, business leaders in conversation about clean energy collaboration</v>
      </c>
      <c r="H235" s="34"/>
      <c r="I235" s="34"/>
      <c r="J235" s="34"/>
      <c r="K235" s="20"/>
      <c r="L235" s="21"/>
      <c r="M235" s="42"/>
      <c r="N235" s="42"/>
      <c r="O235" s="42"/>
      <c r="P235" s="23"/>
      <c r="Q235" s="24"/>
    </row>
    <row r="236">
      <c r="A236" s="102"/>
      <c r="B236" s="103">
        <v>45512.0</v>
      </c>
      <c r="C236" s="17" t="str">
        <f>HYPERLINK("Teaching AI about social intelligence through Minecraft","Teaching AI about social intelligence through Minecraft")</f>
        <v>Teaching AI about social intelligence through Minecraft</v>
      </c>
      <c r="H236" s="34"/>
      <c r="I236" s="34"/>
      <c r="J236" s="34"/>
      <c r="K236" s="20"/>
      <c r="L236" s="21"/>
      <c r="M236" s="42"/>
      <c r="N236" s="42"/>
      <c r="O236" s="42"/>
      <c r="P236" s="23"/>
      <c r="Q236" s="24"/>
    </row>
    <row r="237">
      <c r="A237" s="102"/>
      <c r="B237" s="104">
        <v>45512.0</v>
      </c>
      <c r="C237" s="17" t="str">
        <f>HYPERLINK("The Sustainability Consortium receives 2024 President's Award for Sustainability","The Sustainability Consortium receives 2024 President's Award for Sustainability")</f>
        <v>The Sustainability Consortium receives 2024 President's Award for Sustainability</v>
      </c>
      <c r="H237" s="34"/>
      <c r="I237" s="34"/>
      <c r="J237" s="34"/>
      <c r="K237" s="20"/>
      <c r="L237" s="21"/>
      <c r="M237" s="42"/>
      <c r="N237" s="42"/>
      <c r="O237" s="42"/>
      <c r="P237" s="23"/>
      <c r="Q237" s="24"/>
    </row>
    <row r="238">
      <c r="A238" s="102"/>
      <c r="B238" s="103">
        <v>45511.0</v>
      </c>
      <c r="C238" s="17" t="str">
        <f>HYPERLINK("ASU ocean scientists push for solutions beyond National Ocean Month","ASU ocean scientists push for solutions beyond National Ocean Month")</f>
        <v>ASU ocean scientists push for solutions beyond National Ocean Month</v>
      </c>
      <c r="H238" s="34"/>
      <c r="I238" s="34"/>
      <c r="J238" s="34"/>
      <c r="K238" s="20"/>
      <c r="L238" s="21"/>
      <c r="M238" s="42"/>
      <c r="N238" s="42"/>
      <c r="O238" s="42"/>
      <c r="P238" s="23"/>
      <c r="Q238" s="24"/>
    </row>
    <row r="239">
      <c r="A239" s="102"/>
      <c r="B239" s="104">
        <v>45509.0</v>
      </c>
      <c r="C239" s="17" t="str">
        <f>HYPERLINK("Urban forestry accelerator aims to boost green infrastructure, economic growth in Phoenix","Urban forestry accelerator aims to boost green infrastructure, economic growth in Phoenix")</f>
        <v>Urban forestry accelerator aims to boost green infrastructure, economic growth in Phoenix</v>
      </c>
      <c r="H239" s="34"/>
      <c r="I239" s="34"/>
      <c r="J239" s="34"/>
      <c r="K239" s="20"/>
      <c r="L239" s="21"/>
      <c r="M239" s="42"/>
      <c r="N239" s="42"/>
      <c r="O239" s="42"/>
      <c r="P239" s="23"/>
      <c r="Q239" s="24"/>
    </row>
    <row r="240">
      <c r="A240" s="102"/>
      <c r="B240" s="103">
        <v>45502.0</v>
      </c>
      <c r="C240" s="17" t="str">
        <f>HYPERLINK("Saving lives from an invisible killer","Saving lives from an invisible killer")</f>
        <v>Saving lives from an invisible killer</v>
      </c>
      <c r="H240" s="34"/>
      <c r="I240" s="34"/>
      <c r="J240" s="34"/>
      <c r="K240" s="20"/>
      <c r="L240" s="21"/>
      <c r="M240" s="42"/>
      <c r="N240" s="42"/>
      <c r="O240" s="42"/>
      <c r="P240" s="23"/>
      <c r="Q240" s="24"/>
    </row>
    <row r="241">
      <c r="A241" s="102"/>
      <c r="B241" s="104">
        <v>45475.0</v>
      </c>
      <c r="C241" s="17" t="str">
        <f>HYPERLINK("NSF-funded, ASU-led sustainability, economic development initiative taps new CEO","NSF-funded, ASU-led sustainability, economic development initiative taps new CEO")</f>
        <v>NSF-funded, ASU-led sustainability, economic development initiative taps new CEO</v>
      </c>
      <c r="H241" s="34"/>
      <c r="I241" s="34"/>
      <c r="J241" s="34"/>
      <c r="K241" s="20"/>
      <c r="L241" s="21"/>
      <c r="M241" s="42"/>
      <c r="N241" s="42"/>
      <c r="O241" s="42"/>
      <c r="P241" s="23"/>
      <c r="Q241" s="24"/>
    </row>
    <row r="242">
      <c r="A242" s="102"/>
      <c r="B242" s="103">
        <v>45474.0</v>
      </c>
      <c r="C242" s="17" t="str">
        <f>HYPERLINK("School of Ocean Futures student to conduct marine research as NSF fellow","School of Ocean Futures student to conduct marine research as NSF fellow")</f>
        <v>School of Ocean Futures student to conduct marine research as NSF fellow</v>
      </c>
      <c r="H242" s="34"/>
      <c r="I242" s="34"/>
      <c r="J242" s="34"/>
      <c r="K242" s="20"/>
      <c r="L242" s="21"/>
      <c r="M242" s="42"/>
      <c r="N242" s="42"/>
      <c r="O242" s="42"/>
      <c r="P242" s="23"/>
      <c r="Q242" s="24"/>
    </row>
    <row r="243">
      <c r="A243" s="102"/>
      <c r="B243" s="104">
        <v>45467.0</v>
      </c>
      <c r="C243" s="17" t="str">
        <f>HYPERLINK("Global Futures Laboratory at ASU joins DOE initiative to empower women in clean energy","Global Futures Laboratory at ASU joins DOE initiative to empower women in clean energy")</f>
        <v>Global Futures Laboratory at ASU joins DOE initiative to empower women in clean energy</v>
      </c>
      <c r="H243" s="34"/>
      <c r="I243" s="34"/>
      <c r="J243" s="34"/>
      <c r="K243" s="20"/>
      <c r="L243" s="21"/>
      <c r="M243" s="42"/>
      <c r="N243" s="42"/>
      <c r="O243" s="42"/>
      <c r="P243" s="23"/>
      <c r="Q243" s="24"/>
    </row>
    <row r="244">
      <c r="A244" s="102"/>
      <c r="B244" s="103">
        <v>45454.0</v>
      </c>
      <c r="C244" s="17" t="str">
        <f>HYPERLINK("ASU retains No. 1 in US, top 10 globally in UN Sustainable Development Goals ranking","ASU retains No. 1 in US, top 10 globally in UN Sustainable Development Goals ranking")</f>
        <v>ASU retains No. 1 in US, top 10 globally in UN Sustainable Development Goals ranking</v>
      </c>
      <c r="H244" s="34"/>
      <c r="I244" s="34"/>
      <c r="J244" s="34"/>
      <c r="K244" s="20"/>
      <c r="L244" s="21"/>
      <c r="M244" s="42"/>
      <c r="N244" s="42"/>
      <c r="O244" s="42"/>
      <c r="P244" s="23"/>
      <c r="Q244" s="24"/>
    </row>
    <row r="245">
      <c r="A245" s="102"/>
      <c r="B245" s="104">
        <v>45450.0</v>
      </c>
      <c r="C245" s="17" t="str">
        <f>HYPERLINK("ASU celebrates World Water Day by honoring BIOS’ 120 years of marine research","ASU celebrates World Water Day by honoring BIOS’ 120 years of marine research")</f>
        <v>ASU celebrates World Water Day by honoring BIOS’ 120 years of marine research</v>
      </c>
      <c r="H245" s="34"/>
      <c r="I245" s="34"/>
      <c r="J245" s="34"/>
      <c r="K245" s="20"/>
      <c r="L245" s="21"/>
      <c r="M245" s="42"/>
      <c r="N245" s="42"/>
      <c r="O245" s="42"/>
      <c r="P245" s="23"/>
      <c r="Q245" s="24"/>
    </row>
    <row r="246">
      <c r="A246" s="102"/>
      <c r="B246" s="103">
        <v>45446.0</v>
      </c>
      <c r="C246" s="17" t="str">
        <f>HYPERLINK("https://The hidden cost of the American food system https://news.asu.edu/20240604-environment-and-sustainability-hidden-cost-american-food-system and then they updated the URL to https://news.asu.edu/20240701-environment-and-sustainability-hidden-cost-ame"&amp;"rican-food-system","https://The hidden cost of the American food system https://news.asu.edu/20240604-environment-and-sustainability-hidden-cost-american-food-system and then they updated the URL to https://news.asu.edu/20240701-environment-and-sustainability-hidden-cost-ame"&amp;"rican-food-system")</f>
        <v>https://The hidden cost of the American food system https://news.asu.edu/20240604-environment-and-sustainability-hidden-cost-american-food-system and then they updated the URL to https://news.asu.edu/20240701-environment-and-sustainability-hidden-cost-american-food-system</v>
      </c>
      <c r="H246" s="34"/>
      <c r="I246" s="34"/>
      <c r="J246" s="34"/>
      <c r="K246" s="20"/>
      <c r="L246" s="21"/>
      <c r="M246" s="42"/>
      <c r="N246" s="42"/>
      <c r="O246" s="42"/>
      <c r="P246" s="23"/>
      <c r="Q246" s="24"/>
    </row>
    <row r="247">
      <c r="A247" s="102"/>
      <c r="B247" s="104">
        <v>45445.0</v>
      </c>
      <c r="C247" s="102" t="str">
        <f>HYPERLINK("Clearing the air: How we can fix the CO2 problem and make our lives better","Clearing the air: How we can fix the CO2 problem and make our lives better")</f>
        <v>Clearing the air: How we can fix the CO2 problem and make our lives better</v>
      </c>
      <c r="H247" s="34"/>
      <c r="I247" s="34"/>
      <c r="J247" s="34"/>
      <c r="K247" s="20"/>
      <c r="L247" s="21"/>
      <c r="M247" s="42"/>
      <c r="N247" s="42"/>
      <c r="O247" s="42"/>
      <c r="P247" s="23"/>
      <c r="Q247" s="24"/>
    </row>
    <row r="248">
      <c r="A248" s="102"/>
      <c r="B248" s="103">
        <v>45440.0</v>
      </c>
      <c r="C248" s="17" t="str">
        <f>HYPERLINK("Intermittent fasting shows promise in improving gut health, weight management","Intermittent fasting shows promise in improving gut health, weight management")</f>
        <v>Intermittent fasting shows promise in improving gut health, weight management</v>
      </c>
      <c r="H248" s="34"/>
      <c r="I248" s="34"/>
      <c r="J248" s="34"/>
      <c r="K248" s="20"/>
      <c r="L248" s="21"/>
      <c r="M248" s="42"/>
      <c r="N248" s="42"/>
      <c r="O248" s="42"/>
      <c r="P248" s="23"/>
      <c r="Q248" s="24"/>
    </row>
    <row r="249">
      <c r="A249" s="102"/>
      <c r="B249" s="104">
        <v>45440.0</v>
      </c>
      <c r="C249" s="17" t="str">
        <f>HYPERLINK("ASU research finds link between removal of uterus, brain function","ASU research finds link between removal of uterus, brain function")</f>
        <v>ASU research finds link between removal of uterus, brain function</v>
      </c>
      <c r="H249" s="34"/>
      <c r="I249" s="34"/>
      <c r="J249" s="34"/>
      <c r="K249" s="20"/>
      <c r="L249" s="21"/>
      <c r="M249" s="42"/>
      <c r="N249" s="42"/>
      <c r="O249" s="42"/>
      <c r="P249" s="23"/>
      <c r="Q249" s="24"/>
    </row>
    <row r="250">
      <c r="A250" s="102"/>
      <c r="B250" s="103">
        <v>45433.0</v>
      </c>
      <c r="C250" s="17" t="str">
        <f>HYPERLINK("Forest thinning may provide water benefits downstream","Forest thinning may provide water benefits downstream")</f>
        <v>Forest thinning may provide water benefits downstream</v>
      </c>
      <c r="H250" s="34"/>
      <c r="I250" s="34"/>
      <c r="J250" s="34"/>
      <c r="K250" s="20"/>
      <c r="L250" s="21"/>
      <c r="M250" s="42"/>
      <c r="N250" s="42"/>
      <c r="O250" s="42"/>
      <c r="P250" s="23"/>
      <c r="Q250" s="24"/>
    </row>
    <row r="251">
      <c r="A251" s="102"/>
      <c r="B251" s="104">
        <v>45432.0</v>
      </c>
      <c r="C251" s="17" t="str">
        <f>HYPERLINK("ASU now certified to build sensitive aerospace, defense instruments in-house","ASU now certified to build sensitive aerospace, defense instruments in-house")</f>
        <v>ASU now certified to build sensitive aerospace, defense instruments in-house</v>
      </c>
      <c r="H251" s="34"/>
      <c r="I251" s="34"/>
      <c r="J251" s="34"/>
      <c r="K251" s="20"/>
      <c r="L251" s="21"/>
      <c r="M251" s="42"/>
      <c r="N251" s="42"/>
      <c r="O251" s="42"/>
      <c r="P251" s="23"/>
      <c r="Q251" s="24"/>
    </row>
    <row r="252">
      <c r="A252" s="102"/>
      <c r="B252" s="103">
        <v>45432.0</v>
      </c>
      <c r="C252" s="17" t="str">
        <f>HYPERLINK("New research shows transdisciplinary approach is needed for successful locust management","New research shows transdisciplinary approach is needed for successful locust management")</f>
        <v>New research shows transdisciplinary approach is needed for successful locust management</v>
      </c>
      <c r="H252" s="34"/>
      <c r="I252" s="34"/>
      <c r="J252" s="34"/>
      <c r="K252" s="20"/>
      <c r="L252" s="21"/>
      <c r="M252" s="42"/>
      <c r="N252" s="42"/>
      <c r="O252" s="42"/>
      <c r="P252" s="23"/>
      <c r="Q252" s="24"/>
    </row>
    <row r="253">
      <c r="A253" s="102"/>
      <c r="B253" s="104">
        <v>45421.0</v>
      </c>
      <c r="C253" s="17" t="str">
        <f>HYPERLINK("Reef restoration program celebrates official opening of state-of-the-art coral reef facility","Reef restoration program celebrates official opening of state-of-the-art coral reef facility")</f>
        <v>Reef restoration program celebrates official opening of state-of-the-art coral reef facility</v>
      </c>
      <c r="H253" s="34"/>
      <c r="I253" s="34"/>
      <c r="J253" s="34"/>
      <c r="K253" s="20"/>
      <c r="L253" s="21"/>
      <c r="M253" s="42"/>
      <c r="N253" s="42"/>
      <c r="O253" s="42"/>
      <c r="P253" s="23"/>
      <c r="Q253" s="24"/>
    </row>
    <row r="254">
      <c r="A254" s="102"/>
      <c r="B254" s="103">
        <v>45420.0</v>
      </c>
      <c r="C254" s="17" t="str">
        <f>HYPERLINK("ASU researchers working to better understand individual experiences of heat exposure","ASU researchers working to better understand individual experiences of heat exposure")</f>
        <v>ASU researchers working to better understand individual experiences of heat exposure</v>
      </c>
      <c r="H254" s="34"/>
      <c r="I254" s="34"/>
      <c r="J254" s="34"/>
      <c r="K254" s="20"/>
      <c r="L254" s="21"/>
      <c r="M254" s="42"/>
      <c r="N254" s="42"/>
      <c r="O254" s="42"/>
      <c r="P254" s="23"/>
      <c r="Q254" s="24"/>
    </row>
    <row r="255">
      <c r="A255" s="102"/>
      <c r="B255" s="104">
        <v>45419.0</v>
      </c>
      <c r="C255" s="17" t="str">
        <f>HYPERLINK("College of Global Futures announces new directors","College of Global Futures announces new directors")</f>
        <v>College of Global Futures announces new directors</v>
      </c>
      <c r="H255" s="34"/>
      <c r="I255" s="34"/>
      <c r="J255" s="34"/>
      <c r="K255" s="20"/>
      <c r="L255" s="21"/>
      <c r="M255" s="42"/>
      <c r="N255" s="42"/>
      <c r="O255" s="42"/>
      <c r="P255" s="23"/>
      <c r="Q255" s="24"/>
    </row>
    <row r="256">
      <c r="A256" s="102"/>
      <c r="B256" s="103">
        <v>45411.0</v>
      </c>
      <c r="C256" s="17" t="str">
        <f>HYPERLINK("Grad's journey from ASU to the frontiers of biochemistry and beyond","Grad's journey from ASU to the frontiers of biochemistry and beyond")</f>
        <v>Grad's journey from ASU to the frontiers of biochemistry and beyond</v>
      </c>
      <c r="H256" s="34"/>
      <c r="I256" s="34"/>
      <c r="J256" s="34"/>
      <c r="K256" s="20"/>
      <c r="L256" s="21"/>
      <c r="M256" s="42"/>
      <c r="N256" s="42"/>
      <c r="O256" s="42"/>
      <c r="P256" s="23"/>
      <c r="Q256" s="24"/>
    </row>
    <row r="257">
      <c r="A257" s="102"/>
      <c r="B257" s="104">
        <v>45410.0</v>
      </c>
      <c r="C257" s="17" t="str">
        <f>HYPERLINK("PhD grad honed interdisciplinary skills at ASU","PhD grad honed interdisciplinary skills at ASU")</f>
        <v>PhD grad honed interdisciplinary skills at ASU</v>
      </c>
      <c r="H257" s="34"/>
      <c r="I257" s="34"/>
      <c r="J257" s="34"/>
      <c r="K257" s="20"/>
      <c r="L257" s="21"/>
      <c r="M257" s="42"/>
      <c r="N257" s="42"/>
      <c r="O257" s="42"/>
      <c r="P257" s="23"/>
      <c r="Q257" s="24"/>
    </row>
    <row r="258">
      <c r="A258" s="102"/>
      <c r="B258" s="103">
        <v>45409.0</v>
      </c>
      <c r="C258" s="17" t="str">
        <f>HYPERLINK("Math and stats grad beats the odds by overcoming serious health issues","Math and stats grad beats the odds by overcoming serious health issues")</f>
        <v>Math and stats grad beats the odds by overcoming serious health issues</v>
      </c>
      <c r="H258" s="34"/>
      <c r="I258" s="34"/>
      <c r="J258" s="34"/>
      <c r="K258" s="20"/>
      <c r="L258" s="21"/>
      <c r="M258" s="42"/>
      <c r="N258" s="42"/>
      <c r="O258" s="42"/>
      <c r="P258" s="23"/>
      <c r="Q258" s="24"/>
    </row>
    <row r="259">
      <c r="A259" s="102"/>
      <c r="B259" s="104">
        <v>45401.0</v>
      </c>
      <c r="C259" s="17" t="str">
        <f>HYPERLINK("First exchange student for Biodesign Institute Europe bridges labs 5,000 miles apart","First exchange student for Biodesign Institute Europe bridges labs 5,000 miles apart")</f>
        <v>First exchange student for Biodesign Institute Europe bridges labs 5,000 miles apart</v>
      </c>
      <c r="H259" s="34"/>
      <c r="I259" s="34"/>
      <c r="J259" s="34"/>
      <c r="K259" s="20"/>
      <c r="L259" s="21"/>
      <c r="M259" s="42"/>
      <c r="N259" s="42"/>
      <c r="O259" s="42"/>
      <c r="P259" s="23"/>
      <c r="Q259" s="24"/>
    </row>
    <row r="260">
      <c r="A260" s="102"/>
      <c r="B260" s="103">
        <v>45398.0</v>
      </c>
      <c r="C260" s="102" t="str">
        <f>HYPERLINK("Harnessing the power of microbes for human health also on https://research.asu.edu/news/story/harnessing-the-power-of-microbes-for-human-health","Harnessing the power of microbes for human health also on https://research.asu.edu/news/story/harnessing-the-power-of-microbes-for-human-health")</f>
        <v>Harnessing the power of microbes for human health also on https://research.asu.edu/news/story/harnessing-the-power-of-microbes-for-human-health</v>
      </c>
      <c r="H260" s="34"/>
      <c r="I260" s="34"/>
      <c r="J260" s="34"/>
      <c r="K260" s="20"/>
      <c r="L260" s="21"/>
      <c r="M260" s="42"/>
      <c r="N260" s="42"/>
      <c r="O260" s="42"/>
      <c r="P260" s="23"/>
      <c r="Q260" s="24"/>
    </row>
    <row r="261">
      <c r="A261" s="102"/>
      <c r="B261" s="104">
        <v>45393.0</v>
      </c>
      <c r="C261" s="102" t="str">
        <f>HYPERLINK("Biodesign 'alumni' aid the fight against infectious diseases and also on https://research.asu.edu/news/story/biodesign-alumni-aid-the-fight-against-infectious-diseases","Biodesign 'alumni' aid the fight against infectious diseases and also on https://research.asu.edu/news/story/biodesign-alumni-aid-the-fight-against-infectious-diseases")</f>
        <v>Biodesign 'alumni' aid the fight against infectious diseases and also on https://research.asu.edu/news/story/biodesign-alumni-aid-the-fight-against-infectious-diseases</v>
      </c>
      <c r="H261" s="34"/>
      <c r="I261" s="34"/>
      <c r="J261" s="34"/>
      <c r="K261" s="20"/>
      <c r="L261" s="21"/>
      <c r="M261" s="42"/>
      <c r="N261" s="42"/>
      <c r="O261" s="42"/>
      <c r="P261" s="23"/>
      <c r="Q261" s="24"/>
    </row>
    <row r="262">
      <c r="A262" s="102"/>
      <c r="B262" s="103">
        <v>45379.0</v>
      </c>
      <c r="C262" s="17" t="str">
        <f>HYPERLINK("New study finds previously unreported and persistent super-emitting methane plumes from US landfills","New study finds previously unreported and persistent super-emitting methane plumes from US landfills")</f>
        <v>New study finds previously unreported and persistent super-emitting methane plumes from US landfills</v>
      </c>
      <c r="H262" s="34"/>
      <c r="I262" s="34"/>
      <c r="J262" s="34"/>
      <c r="K262" s="20"/>
      <c r="L262" s="21"/>
      <c r="M262" s="42"/>
      <c r="N262" s="42"/>
      <c r="O262" s="42"/>
      <c r="P262" s="23"/>
      <c r="Q262" s="24"/>
    </row>
    <row r="263">
      <c r="A263" s="102"/>
      <c r="B263" s="104">
        <v>45355.0</v>
      </c>
      <c r="C263" s="17" t="str">
        <f>HYPERLINK("NSF announces new partners in ASU-led climate, economy initiative","NSF announces new partners in ASU-led climate, economy initiative")</f>
        <v>NSF announces new partners in ASU-led climate, economy initiative</v>
      </c>
      <c r="H263" s="34"/>
      <c r="I263" s="34"/>
      <c r="J263" s="34"/>
      <c r="K263" s="20"/>
      <c r="L263" s="21"/>
      <c r="M263" s="42"/>
      <c r="N263" s="42"/>
      <c r="O263" s="42"/>
      <c r="P263" s="23"/>
      <c r="Q263" s="24"/>
    </row>
    <row r="264">
      <c r="A264" s="102"/>
      <c r="B264" s="103">
        <v>45336.0</v>
      </c>
      <c r="C264" s="17" t="str">
        <f>HYPERLINK("The role of the university in changing the world","The role of the university in changing the world")</f>
        <v>The role of the university in changing the world</v>
      </c>
      <c r="H264" s="34"/>
      <c r="I264" s="34"/>
      <c r="J264" s="34"/>
      <c r="K264" s="20"/>
      <c r="L264" s="21"/>
      <c r="M264" s="42"/>
      <c r="N264" s="42"/>
      <c r="O264" s="42"/>
      <c r="P264" s="23"/>
      <c r="Q264" s="24"/>
    </row>
    <row r="265">
      <c r="A265" s="102"/>
      <c r="B265" s="104">
        <v>45329.0</v>
      </c>
      <c r="C265" s="17" t="str">
        <f>HYPERLINK("First-of-its-kind plastics recycling microfactory to transform waste, create new jobs","First-of-its-kind plastics recycling microfactory to transform waste, create new jobs")</f>
        <v>First-of-its-kind plastics recycling microfactory to transform waste, create new jobs</v>
      </c>
      <c r="H265" s="34"/>
      <c r="I265" s="34"/>
      <c r="J265" s="34"/>
      <c r="K265" s="20"/>
      <c r="L265" s="21"/>
      <c r="M265" s="42"/>
      <c r="N265" s="42"/>
      <c r="O265" s="42"/>
      <c r="P265" s="23"/>
      <c r="Q265" s="24"/>
    </row>
    <row r="266">
      <c r="A266" s="102"/>
      <c r="B266" s="103"/>
      <c r="C266" s="102"/>
      <c r="H266" s="34"/>
      <c r="I266" s="34"/>
      <c r="J266" s="34"/>
      <c r="K266" s="20"/>
      <c r="L266" s="21"/>
      <c r="M266" s="42"/>
      <c r="N266" s="42"/>
      <c r="O266" s="42"/>
      <c r="P266" s="23"/>
      <c r="Q266" s="24"/>
    </row>
    <row r="267">
      <c r="A267" s="102"/>
      <c r="B267" s="104"/>
      <c r="C267" s="102"/>
      <c r="H267" s="34"/>
      <c r="I267" s="34"/>
      <c r="J267" s="34"/>
      <c r="K267" s="20"/>
      <c r="L267" s="21"/>
      <c r="M267" s="42"/>
      <c r="N267" s="42"/>
      <c r="O267" s="42"/>
      <c r="P267" s="23"/>
      <c r="Q267" s="24"/>
    </row>
    <row r="268">
      <c r="A268" s="102"/>
      <c r="B268" s="103"/>
      <c r="C268" s="102"/>
      <c r="H268" s="34"/>
      <c r="I268" s="34"/>
      <c r="J268" s="34"/>
      <c r="K268" s="20"/>
      <c r="L268" s="21"/>
      <c r="M268" s="42"/>
      <c r="N268" s="42"/>
      <c r="O268" s="42"/>
      <c r="P268" s="23"/>
      <c r="Q268" s="24"/>
    </row>
    <row r="269">
      <c r="A269" s="102"/>
      <c r="B269" s="104"/>
      <c r="C269" s="102"/>
      <c r="H269" s="34"/>
      <c r="I269" s="34"/>
      <c r="J269" s="34"/>
      <c r="K269" s="20"/>
      <c r="L269" s="21"/>
      <c r="M269" s="42"/>
      <c r="N269" s="42"/>
      <c r="O269" s="42"/>
      <c r="P269" s="23"/>
      <c r="Q269" s="24"/>
    </row>
    <row r="270">
      <c r="A270" s="102"/>
      <c r="B270" s="103"/>
      <c r="C270" s="102"/>
      <c r="H270" s="34"/>
      <c r="I270" s="34"/>
      <c r="J270" s="34"/>
      <c r="K270" s="20"/>
      <c r="L270" s="21"/>
      <c r="M270" s="42"/>
      <c r="N270" s="42"/>
      <c r="O270" s="42"/>
      <c r="P270" s="23"/>
      <c r="Q270" s="24"/>
    </row>
    <row r="271">
      <c r="A271" s="102"/>
      <c r="B271" s="104"/>
      <c r="C271" s="102"/>
      <c r="H271" s="34"/>
      <c r="I271" s="34"/>
      <c r="J271" s="34"/>
      <c r="K271" s="20"/>
      <c r="L271" s="21"/>
      <c r="M271" s="42"/>
      <c r="N271" s="42"/>
      <c r="O271" s="42"/>
      <c r="P271" s="23"/>
      <c r="Q271" s="24"/>
    </row>
    <row r="272">
      <c r="A272" s="102"/>
      <c r="B272" s="103"/>
      <c r="C272" s="102"/>
      <c r="H272" s="34"/>
      <c r="I272" s="34"/>
      <c r="J272" s="34"/>
      <c r="K272" s="20"/>
      <c r="L272" s="21"/>
      <c r="M272" s="42"/>
      <c r="N272" s="42"/>
      <c r="O272" s="42"/>
      <c r="P272" s="23"/>
      <c r="Q272" s="24"/>
    </row>
    <row r="273">
      <c r="A273" s="102"/>
      <c r="B273" s="104"/>
      <c r="C273" s="102"/>
      <c r="H273" s="34"/>
      <c r="I273" s="34"/>
      <c r="J273" s="34"/>
      <c r="K273" s="20"/>
      <c r="L273" s="21"/>
      <c r="M273" s="42"/>
      <c r="N273" s="42"/>
      <c r="O273" s="42"/>
      <c r="P273" s="23"/>
      <c r="Q273" s="24"/>
    </row>
    <row r="274">
      <c r="A274" s="102"/>
      <c r="B274" s="103"/>
      <c r="C274" s="102"/>
      <c r="H274" s="34"/>
      <c r="I274" s="34"/>
      <c r="J274" s="34"/>
      <c r="K274" s="20"/>
      <c r="L274" s="21"/>
      <c r="M274" s="42"/>
      <c r="N274" s="42"/>
      <c r="O274" s="42"/>
      <c r="P274" s="23"/>
      <c r="Q274" s="24"/>
    </row>
    <row r="275">
      <c r="A275" s="102"/>
      <c r="B275" s="104"/>
      <c r="C275" s="102"/>
      <c r="H275" s="34"/>
      <c r="I275" s="34"/>
      <c r="J275" s="34"/>
      <c r="K275" s="20"/>
      <c r="L275" s="21"/>
      <c r="M275" s="42"/>
      <c r="N275" s="42"/>
      <c r="O275" s="42"/>
      <c r="P275" s="23"/>
      <c r="Q275" s="24"/>
    </row>
    <row r="276">
      <c r="A276" s="102"/>
      <c r="B276" s="103"/>
      <c r="C276" s="102"/>
      <c r="H276" s="34"/>
      <c r="I276" s="34"/>
      <c r="J276" s="34"/>
      <c r="K276" s="20"/>
      <c r="L276" s="21"/>
      <c r="M276" s="42"/>
      <c r="N276" s="42"/>
      <c r="O276" s="42"/>
      <c r="P276" s="23"/>
      <c r="Q276" s="24"/>
    </row>
    <row r="277">
      <c r="A277" s="102"/>
      <c r="B277" s="104"/>
      <c r="C277" s="102"/>
      <c r="H277" s="34"/>
      <c r="I277" s="34"/>
      <c r="J277" s="34"/>
      <c r="K277" s="20"/>
      <c r="L277" s="21"/>
      <c r="M277" s="42"/>
      <c r="N277" s="42"/>
      <c r="O277" s="42"/>
      <c r="P277" s="23"/>
      <c r="Q277" s="24"/>
    </row>
    <row r="278">
      <c r="A278" s="102"/>
      <c r="B278" s="103"/>
      <c r="C278" s="102"/>
      <c r="H278" s="34"/>
      <c r="I278" s="34"/>
      <c r="J278" s="34"/>
      <c r="K278" s="20"/>
      <c r="L278" s="21"/>
      <c r="M278" s="42"/>
      <c r="N278" s="42"/>
      <c r="O278" s="42"/>
      <c r="P278" s="23"/>
      <c r="Q278" s="24"/>
    </row>
    <row r="279">
      <c r="A279" s="102"/>
      <c r="B279" s="104"/>
      <c r="C279" s="102"/>
      <c r="H279" s="34"/>
      <c r="I279" s="34"/>
      <c r="J279" s="34"/>
      <c r="K279" s="20"/>
      <c r="L279" s="21"/>
      <c r="M279" s="42"/>
      <c r="N279" s="42"/>
      <c r="O279" s="42"/>
      <c r="P279" s="23"/>
      <c r="Q279" s="24"/>
    </row>
    <row r="280">
      <c r="A280" s="102"/>
      <c r="B280" s="103"/>
      <c r="C280" s="102"/>
      <c r="H280" s="34"/>
      <c r="I280" s="34"/>
      <c r="J280" s="34"/>
      <c r="K280" s="20"/>
      <c r="L280" s="21"/>
      <c r="M280" s="42"/>
      <c r="N280" s="42"/>
      <c r="O280" s="42"/>
      <c r="P280" s="23"/>
      <c r="Q280" s="24"/>
    </row>
    <row r="281">
      <c r="A281" s="102"/>
      <c r="B281" s="104"/>
      <c r="C281" s="102"/>
      <c r="H281" s="34"/>
      <c r="I281" s="34"/>
      <c r="J281" s="34"/>
      <c r="K281" s="20"/>
      <c r="L281" s="21"/>
      <c r="M281" s="42"/>
      <c r="N281" s="42"/>
      <c r="O281" s="42"/>
      <c r="P281" s="23"/>
      <c r="Q281" s="24"/>
    </row>
    <row r="282">
      <c r="A282" s="102"/>
      <c r="B282" s="103"/>
      <c r="C282" s="102"/>
      <c r="H282" s="34"/>
      <c r="I282" s="34"/>
      <c r="J282" s="34"/>
      <c r="K282" s="20"/>
      <c r="L282" s="21"/>
      <c r="M282" s="42"/>
      <c r="N282" s="42"/>
      <c r="O282" s="42"/>
      <c r="P282" s="23"/>
      <c r="Q282" s="24"/>
    </row>
    <row r="283">
      <c r="A283" s="102"/>
      <c r="B283" s="104"/>
      <c r="C283" s="102"/>
      <c r="H283" s="34"/>
      <c r="I283" s="34"/>
      <c r="J283" s="34"/>
      <c r="K283" s="20"/>
      <c r="L283" s="21"/>
      <c r="M283" s="42"/>
      <c r="N283" s="42"/>
      <c r="O283" s="42"/>
      <c r="P283" s="23"/>
      <c r="Q283" s="24"/>
    </row>
    <row r="284">
      <c r="A284" s="102"/>
      <c r="B284" s="103"/>
      <c r="C284" s="102"/>
      <c r="H284" s="34"/>
      <c r="I284" s="34"/>
      <c r="J284" s="34"/>
      <c r="K284" s="20"/>
      <c r="L284" s="21"/>
      <c r="M284" s="42"/>
      <c r="N284" s="42"/>
      <c r="O284" s="42"/>
      <c r="P284" s="23"/>
      <c r="Q284" s="24"/>
    </row>
    <row r="285">
      <c r="A285" s="102"/>
      <c r="B285" s="104"/>
      <c r="C285" s="102"/>
      <c r="H285" s="34"/>
      <c r="I285" s="34"/>
      <c r="J285" s="34"/>
      <c r="K285" s="20"/>
      <c r="L285" s="21"/>
      <c r="M285" s="42"/>
      <c r="N285" s="42"/>
      <c r="O285" s="42"/>
      <c r="P285" s="23"/>
      <c r="Q285" s="24"/>
    </row>
    <row r="286">
      <c r="A286" s="102"/>
      <c r="B286" s="103"/>
      <c r="C286" s="102"/>
      <c r="H286" s="34"/>
      <c r="I286" s="34"/>
      <c r="J286" s="34"/>
      <c r="K286" s="20"/>
      <c r="L286" s="21"/>
      <c r="M286" s="42"/>
      <c r="N286" s="42"/>
      <c r="O286" s="42"/>
      <c r="P286" s="23"/>
      <c r="Q286" s="24"/>
    </row>
    <row r="287">
      <c r="A287" s="102"/>
      <c r="B287" s="104"/>
      <c r="C287" s="102"/>
      <c r="H287" s="34"/>
      <c r="I287" s="34"/>
      <c r="J287" s="34"/>
      <c r="K287" s="20"/>
      <c r="L287" s="21"/>
      <c r="M287" s="42"/>
      <c r="N287" s="42"/>
      <c r="O287" s="42"/>
      <c r="P287" s="23"/>
      <c r="Q287" s="24"/>
    </row>
    <row r="288">
      <c r="A288" s="102"/>
      <c r="B288" s="103"/>
      <c r="C288" s="102"/>
      <c r="H288" s="34"/>
      <c r="I288" s="34"/>
      <c r="J288" s="34"/>
      <c r="K288" s="20"/>
      <c r="L288" s="21"/>
      <c r="M288" s="42"/>
      <c r="N288" s="42"/>
      <c r="O288" s="42"/>
      <c r="P288" s="23"/>
      <c r="Q288" s="24"/>
    </row>
    <row r="289">
      <c r="A289" s="102"/>
      <c r="B289" s="104"/>
      <c r="C289" s="102"/>
      <c r="H289" s="34"/>
      <c r="I289" s="34"/>
      <c r="J289" s="34"/>
      <c r="K289" s="20"/>
      <c r="L289" s="21"/>
      <c r="M289" s="42"/>
      <c r="N289" s="42"/>
      <c r="O289" s="42"/>
      <c r="P289" s="23"/>
      <c r="Q289" s="24"/>
    </row>
    <row r="290">
      <c r="A290" s="102"/>
      <c r="B290" s="103"/>
      <c r="C290" s="102"/>
      <c r="H290" s="34"/>
      <c r="I290" s="34"/>
      <c r="J290" s="34"/>
      <c r="K290" s="20"/>
      <c r="L290" s="21"/>
      <c r="M290" s="42"/>
      <c r="N290" s="42"/>
      <c r="O290" s="42"/>
      <c r="P290" s="23"/>
      <c r="Q290" s="24"/>
    </row>
    <row r="291">
      <c r="A291" s="102"/>
      <c r="B291" s="104"/>
      <c r="C291" s="102"/>
      <c r="H291" s="34"/>
      <c r="I291" s="34"/>
      <c r="J291" s="34"/>
      <c r="K291" s="20"/>
      <c r="L291" s="21"/>
      <c r="M291" s="42"/>
      <c r="N291" s="42"/>
      <c r="O291" s="42"/>
      <c r="P291" s="23"/>
      <c r="Q291" s="24"/>
    </row>
    <row r="292">
      <c r="A292" s="102"/>
      <c r="B292" s="103"/>
      <c r="C292" s="102"/>
      <c r="H292" s="34"/>
      <c r="I292" s="34"/>
      <c r="J292" s="34"/>
      <c r="K292" s="20"/>
      <c r="L292" s="21"/>
      <c r="M292" s="42"/>
      <c r="N292" s="42"/>
      <c r="O292" s="42"/>
      <c r="P292" s="23"/>
      <c r="Q292" s="24"/>
    </row>
    <row r="293">
      <c r="A293" s="102"/>
      <c r="B293" s="104"/>
      <c r="C293" s="102"/>
      <c r="H293" s="34"/>
      <c r="I293" s="34"/>
      <c r="J293" s="34"/>
      <c r="K293" s="20"/>
      <c r="L293" s="21"/>
      <c r="M293" s="42"/>
      <c r="N293" s="42"/>
      <c r="O293" s="42"/>
      <c r="P293" s="23"/>
      <c r="Q293" s="24"/>
    </row>
    <row r="294">
      <c r="A294" s="102"/>
      <c r="B294" s="103"/>
      <c r="C294" s="102"/>
      <c r="H294" s="34"/>
      <c r="I294" s="34"/>
      <c r="J294" s="34"/>
      <c r="K294" s="20"/>
      <c r="L294" s="21"/>
      <c r="M294" s="42"/>
      <c r="N294" s="42"/>
      <c r="O294" s="42"/>
      <c r="P294" s="23"/>
      <c r="Q294" s="24"/>
    </row>
    <row r="295">
      <c r="A295" s="102"/>
      <c r="B295" s="104"/>
      <c r="C295" s="102"/>
      <c r="H295" s="34"/>
      <c r="I295" s="34"/>
      <c r="J295" s="34"/>
      <c r="K295" s="20"/>
      <c r="L295" s="21"/>
      <c r="M295" s="42"/>
      <c r="N295" s="42"/>
      <c r="O295" s="42"/>
      <c r="P295" s="23"/>
      <c r="Q295" s="24"/>
    </row>
    <row r="296">
      <c r="A296" s="102"/>
      <c r="B296" s="103"/>
      <c r="C296" s="102"/>
      <c r="H296" s="34"/>
      <c r="I296" s="34"/>
      <c r="J296" s="34"/>
      <c r="K296" s="20"/>
      <c r="L296" s="21"/>
      <c r="M296" s="42"/>
      <c r="N296" s="42"/>
      <c r="O296" s="42"/>
      <c r="P296" s="23"/>
      <c r="Q296" s="24"/>
    </row>
    <row r="297">
      <c r="A297" s="102"/>
      <c r="B297" s="104"/>
      <c r="C297" s="102"/>
      <c r="H297" s="34"/>
      <c r="I297" s="34"/>
      <c r="J297" s="34"/>
      <c r="K297" s="20"/>
      <c r="L297" s="21"/>
      <c r="M297" s="42"/>
      <c r="N297" s="42"/>
      <c r="O297" s="42"/>
      <c r="P297" s="23"/>
      <c r="Q297" s="24"/>
    </row>
    <row r="298">
      <c r="A298" s="102"/>
      <c r="B298" s="103"/>
      <c r="C298" s="102"/>
      <c r="H298" s="34"/>
      <c r="I298" s="34"/>
      <c r="J298" s="34"/>
      <c r="K298" s="20"/>
      <c r="L298" s="21"/>
      <c r="M298" s="42"/>
      <c r="N298" s="42"/>
      <c r="O298" s="42"/>
      <c r="P298" s="23"/>
      <c r="Q298" s="24"/>
    </row>
    <row r="299">
      <c r="A299" s="102"/>
      <c r="B299" s="104"/>
      <c r="C299" s="102"/>
      <c r="H299" s="34"/>
      <c r="I299" s="34"/>
      <c r="J299" s="34"/>
      <c r="K299" s="20"/>
      <c r="L299" s="21"/>
      <c r="M299" s="42"/>
      <c r="N299" s="42"/>
      <c r="O299" s="42"/>
      <c r="P299" s="23"/>
      <c r="Q299" s="24"/>
    </row>
    <row r="300">
      <c r="A300" s="102"/>
      <c r="B300" s="103"/>
      <c r="C300" s="102"/>
      <c r="H300" s="34"/>
      <c r="I300" s="34"/>
      <c r="J300" s="34"/>
      <c r="K300" s="20"/>
      <c r="L300" s="21"/>
      <c r="M300" s="42"/>
      <c r="N300" s="42"/>
      <c r="O300" s="42"/>
      <c r="P300" s="23"/>
      <c r="Q300" s="24"/>
    </row>
    <row r="301">
      <c r="A301" s="102"/>
      <c r="B301" s="104"/>
      <c r="C301" s="102"/>
      <c r="H301" s="34"/>
      <c r="I301" s="34"/>
      <c r="J301" s="34"/>
      <c r="K301" s="20"/>
      <c r="L301" s="21"/>
      <c r="M301" s="42"/>
      <c r="N301" s="42"/>
      <c r="O301" s="42"/>
      <c r="P301" s="23"/>
      <c r="Q301" s="24"/>
    </row>
    <row r="302">
      <c r="A302" s="102"/>
      <c r="B302" s="103"/>
      <c r="C302" s="102"/>
      <c r="H302" s="34"/>
      <c r="I302" s="34"/>
      <c r="J302" s="34"/>
      <c r="K302" s="20"/>
      <c r="L302" s="21"/>
      <c r="M302" s="42"/>
      <c r="N302" s="42"/>
      <c r="O302" s="42"/>
      <c r="P302" s="23"/>
      <c r="Q302" s="24"/>
    </row>
    <row r="303">
      <c r="A303" s="102"/>
      <c r="B303" s="104"/>
      <c r="C303" s="102"/>
      <c r="H303" s="34"/>
      <c r="I303" s="34"/>
      <c r="J303" s="34"/>
      <c r="K303" s="20"/>
      <c r="L303" s="21"/>
      <c r="M303" s="42"/>
      <c r="N303" s="42"/>
      <c r="O303" s="42"/>
      <c r="P303" s="23"/>
      <c r="Q303" s="24"/>
    </row>
    <row r="304">
      <c r="A304" s="102"/>
      <c r="B304" s="103"/>
      <c r="C304" s="102"/>
      <c r="H304" s="34"/>
      <c r="I304" s="34"/>
      <c r="J304" s="34"/>
      <c r="K304" s="20"/>
      <c r="L304" s="21"/>
      <c r="M304" s="42"/>
      <c r="N304" s="42"/>
      <c r="O304" s="42"/>
      <c r="P304" s="23"/>
      <c r="Q304" s="24"/>
    </row>
    <row r="305">
      <c r="A305" s="102"/>
      <c r="B305" s="104"/>
      <c r="C305" s="102"/>
      <c r="H305" s="34"/>
      <c r="I305" s="34"/>
      <c r="J305" s="34"/>
      <c r="K305" s="20"/>
      <c r="L305" s="21"/>
      <c r="M305" s="42"/>
      <c r="N305" s="42"/>
      <c r="O305" s="42"/>
      <c r="P305" s="23"/>
      <c r="Q305" s="24"/>
    </row>
    <row r="306">
      <c r="A306" s="102"/>
      <c r="B306" s="103"/>
      <c r="C306" s="102"/>
      <c r="H306" s="34"/>
      <c r="I306" s="34"/>
      <c r="J306" s="34"/>
      <c r="K306" s="20"/>
      <c r="L306" s="21"/>
      <c r="M306" s="42"/>
      <c r="N306" s="42"/>
      <c r="O306" s="42"/>
      <c r="P306" s="23"/>
      <c r="Q306" s="24"/>
    </row>
    <row r="307">
      <c r="A307" s="102"/>
      <c r="B307" s="104"/>
      <c r="C307" s="102"/>
      <c r="H307" s="34"/>
      <c r="I307" s="34"/>
      <c r="J307" s="34"/>
      <c r="K307" s="20"/>
      <c r="L307" s="21"/>
      <c r="M307" s="42"/>
      <c r="N307" s="42"/>
      <c r="O307" s="42"/>
      <c r="P307" s="23"/>
      <c r="Q307" s="24"/>
    </row>
    <row r="308">
      <c r="A308" s="102"/>
      <c r="B308" s="103"/>
      <c r="C308" s="102"/>
      <c r="H308" s="34"/>
      <c r="I308" s="34"/>
      <c r="J308" s="34"/>
      <c r="K308" s="20"/>
      <c r="L308" s="21"/>
      <c r="M308" s="42"/>
      <c r="N308" s="42"/>
      <c r="O308" s="42"/>
      <c r="P308" s="23"/>
      <c r="Q308" s="24"/>
    </row>
    <row r="309">
      <c r="A309" s="102"/>
      <c r="B309" s="104"/>
      <c r="C309" s="102"/>
      <c r="H309" s="34"/>
      <c r="I309" s="34"/>
      <c r="J309" s="34"/>
      <c r="K309" s="20"/>
      <c r="L309" s="21"/>
      <c r="M309" s="42"/>
      <c r="N309" s="42"/>
      <c r="O309" s="42"/>
      <c r="P309" s="23"/>
      <c r="Q309" s="24"/>
    </row>
    <row r="310">
      <c r="A310" s="102"/>
      <c r="B310" s="103"/>
      <c r="C310" s="102"/>
      <c r="H310" s="34"/>
      <c r="I310" s="34"/>
      <c r="J310" s="34"/>
      <c r="K310" s="20"/>
      <c r="L310" s="21"/>
      <c r="M310" s="42"/>
      <c r="N310" s="42"/>
      <c r="O310" s="42"/>
      <c r="P310" s="23"/>
      <c r="Q310" s="24"/>
    </row>
    <row r="311">
      <c r="A311" s="102"/>
      <c r="B311" s="104"/>
      <c r="C311" s="102"/>
      <c r="H311" s="34"/>
      <c r="I311" s="34"/>
      <c r="J311" s="34"/>
      <c r="K311" s="20"/>
      <c r="L311" s="21"/>
      <c r="M311" s="42"/>
      <c r="N311" s="42"/>
      <c r="O311" s="42"/>
      <c r="P311" s="23"/>
      <c r="Q311" s="24"/>
    </row>
    <row r="312">
      <c r="A312" s="102"/>
      <c r="B312" s="103"/>
      <c r="C312" s="102"/>
      <c r="H312" s="34"/>
      <c r="I312" s="34"/>
      <c r="J312" s="34"/>
      <c r="K312" s="20"/>
      <c r="L312" s="21"/>
      <c r="M312" s="42"/>
      <c r="N312" s="42"/>
      <c r="O312" s="42"/>
      <c r="P312" s="23"/>
      <c r="Q312" s="24"/>
    </row>
    <row r="313">
      <c r="A313" s="102"/>
      <c r="B313" s="104"/>
      <c r="C313" s="102"/>
      <c r="H313" s="34"/>
      <c r="I313" s="34"/>
      <c r="J313" s="34"/>
      <c r="K313" s="20"/>
      <c r="L313" s="21"/>
      <c r="M313" s="42"/>
      <c r="N313" s="42"/>
      <c r="O313" s="42"/>
      <c r="P313" s="23"/>
      <c r="Q313" s="24"/>
    </row>
    <row r="314">
      <c r="A314" s="102"/>
      <c r="B314" s="103"/>
      <c r="C314" s="102"/>
      <c r="H314" s="34"/>
      <c r="I314" s="34"/>
      <c r="J314" s="34"/>
      <c r="K314" s="20"/>
      <c r="L314" s="21"/>
      <c r="M314" s="42"/>
      <c r="N314" s="42"/>
      <c r="O314" s="42"/>
      <c r="P314" s="23"/>
      <c r="Q314" s="24"/>
    </row>
    <row r="315">
      <c r="A315" s="102"/>
      <c r="B315" s="104"/>
      <c r="C315" s="102"/>
      <c r="H315" s="34"/>
      <c r="I315" s="34"/>
      <c r="J315" s="34"/>
      <c r="K315" s="20"/>
      <c r="L315" s="21"/>
      <c r="M315" s="42"/>
      <c r="N315" s="42"/>
      <c r="O315" s="42"/>
      <c r="P315" s="23"/>
      <c r="Q315" s="24"/>
    </row>
    <row r="316">
      <c r="A316" s="102"/>
      <c r="B316" s="103"/>
      <c r="C316" s="102"/>
      <c r="H316" s="34"/>
      <c r="I316" s="34"/>
      <c r="J316" s="34"/>
      <c r="K316" s="20"/>
      <c r="L316" s="21"/>
      <c r="M316" s="42"/>
      <c r="N316" s="42"/>
      <c r="O316" s="42"/>
      <c r="P316" s="23"/>
      <c r="Q316" s="24"/>
    </row>
    <row r="317">
      <c r="A317" s="102"/>
      <c r="B317" s="104"/>
      <c r="C317" s="102"/>
      <c r="H317" s="34"/>
      <c r="I317" s="34"/>
      <c r="J317" s="34"/>
      <c r="K317" s="20"/>
      <c r="L317" s="21"/>
      <c r="M317" s="42"/>
      <c r="N317" s="42"/>
      <c r="O317" s="42"/>
      <c r="P317" s="23"/>
      <c r="Q317" s="24"/>
    </row>
    <row r="318">
      <c r="A318" s="102"/>
      <c r="B318" s="103"/>
      <c r="C318" s="102"/>
      <c r="H318" s="34"/>
      <c r="I318" s="34"/>
      <c r="J318" s="34"/>
      <c r="K318" s="20"/>
      <c r="L318" s="21"/>
      <c r="M318" s="42"/>
      <c r="N318" s="42"/>
      <c r="O318" s="42"/>
      <c r="P318" s="23"/>
      <c r="Q318" s="24"/>
    </row>
    <row r="319">
      <c r="A319" s="102"/>
      <c r="B319" s="104"/>
      <c r="C319" s="102"/>
      <c r="H319" s="34"/>
      <c r="I319" s="34"/>
      <c r="J319" s="34"/>
      <c r="K319" s="20"/>
      <c r="L319" s="21"/>
      <c r="M319" s="42"/>
      <c r="N319" s="42"/>
      <c r="O319" s="42"/>
      <c r="P319" s="23"/>
      <c r="Q319" s="24"/>
    </row>
    <row r="320">
      <c r="A320" s="102"/>
      <c r="B320" s="103"/>
      <c r="C320" s="102"/>
      <c r="H320" s="34"/>
      <c r="I320" s="34"/>
      <c r="J320" s="34"/>
      <c r="K320" s="20"/>
      <c r="L320" s="21"/>
      <c r="M320" s="42"/>
      <c r="N320" s="42"/>
      <c r="O320" s="42"/>
      <c r="P320" s="23"/>
      <c r="Q320" s="24"/>
    </row>
    <row r="321">
      <c r="A321" s="102"/>
      <c r="B321" s="104"/>
      <c r="C321" s="102"/>
      <c r="H321" s="34"/>
      <c r="I321" s="34"/>
      <c r="J321" s="34"/>
      <c r="K321" s="20"/>
      <c r="L321" s="21"/>
      <c r="M321" s="42"/>
      <c r="N321" s="42"/>
      <c r="O321" s="42"/>
      <c r="P321" s="23"/>
      <c r="Q321" s="24"/>
    </row>
    <row r="322">
      <c r="A322" s="102"/>
      <c r="B322" s="103"/>
      <c r="C322" s="102"/>
      <c r="H322" s="34"/>
      <c r="I322" s="34"/>
      <c r="J322" s="34"/>
      <c r="K322" s="20"/>
      <c r="L322" s="21"/>
      <c r="M322" s="42"/>
      <c r="N322" s="42"/>
      <c r="O322" s="42"/>
      <c r="P322" s="23"/>
      <c r="Q322" s="24"/>
    </row>
    <row r="323">
      <c r="A323" s="102"/>
      <c r="B323" s="104"/>
      <c r="C323" s="102"/>
      <c r="H323" s="34"/>
      <c r="I323" s="34"/>
      <c r="J323" s="34"/>
      <c r="K323" s="20"/>
      <c r="L323" s="21"/>
      <c r="M323" s="42"/>
      <c r="N323" s="42"/>
      <c r="O323" s="42"/>
      <c r="P323" s="23"/>
      <c r="Q323" s="24"/>
    </row>
    <row r="324">
      <c r="A324" s="102"/>
      <c r="B324" s="103"/>
      <c r="C324" s="102"/>
      <c r="H324" s="34"/>
      <c r="I324" s="34"/>
      <c r="J324" s="34"/>
      <c r="K324" s="20"/>
      <c r="L324" s="21"/>
      <c r="M324" s="42"/>
      <c r="N324" s="42"/>
      <c r="O324" s="42"/>
      <c r="P324" s="23"/>
      <c r="Q324" s="24"/>
    </row>
    <row r="325">
      <c r="A325" s="102"/>
      <c r="B325" s="104"/>
      <c r="C325" s="102"/>
      <c r="H325" s="34"/>
      <c r="I325" s="34"/>
      <c r="J325" s="34"/>
      <c r="K325" s="20"/>
      <c r="L325" s="21"/>
      <c r="M325" s="42"/>
      <c r="N325" s="42"/>
      <c r="O325" s="42"/>
      <c r="P325" s="23"/>
      <c r="Q325" s="24"/>
    </row>
    <row r="326">
      <c r="A326" s="102"/>
      <c r="B326" s="103"/>
      <c r="C326" s="102"/>
      <c r="H326" s="34"/>
      <c r="I326" s="34"/>
      <c r="J326" s="34"/>
      <c r="K326" s="20"/>
      <c r="L326" s="21"/>
      <c r="M326" s="42"/>
      <c r="N326" s="42"/>
      <c r="O326" s="42"/>
      <c r="P326" s="23"/>
      <c r="Q326" s="24"/>
    </row>
    <row r="327">
      <c r="A327" s="102"/>
      <c r="B327" s="104"/>
      <c r="C327" s="102"/>
      <c r="H327" s="34"/>
      <c r="I327" s="34"/>
      <c r="J327" s="34"/>
      <c r="K327" s="20"/>
      <c r="L327" s="21"/>
      <c r="M327" s="42"/>
      <c r="N327" s="42"/>
      <c r="O327" s="42"/>
      <c r="P327" s="23"/>
      <c r="Q327" s="24"/>
    </row>
    <row r="328">
      <c r="A328" s="102"/>
      <c r="B328" s="103"/>
      <c r="C328" s="102"/>
      <c r="H328" s="34"/>
      <c r="I328" s="34"/>
      <c r="J328" s="34"/>
      <c r="K328" s="20"/>
      <c r="L328" s="21"/>
      <c r="M328" s="42"/>
      <c r="N328" s="42"/>
      <c r="O328" s="42"/>
      <c r="P328" s="23"/>
      <c r="Q328" s="24"/>
    </row>
    <row r="329">
      <c r="A329" s="102"/>
      <c r="B329" s="104"/>
      <c r="C329" s="102"/>
      <c r="H329" s="34"/>
      <c r="I329" s="34"/>
      <c r="J329" s="34"/>
      <c r="K329" s="20"/>
      <c r="L329" s="21"/>
      <c r="M329" s="42"/>
      <c r="N329" s="42"/>
      <c r="O329" s="42"/>
      <c r="P329" s="23"/>
      <c r="Q329" s="24"/>
    </row>
    <row r="330">
      <c r="A330" s="102"/>
      <c r="B330" s="103"/>
      <c r="C330" s="102"/>
      <c r="H330" s="34"/>
      <c r="I330" s="34"/>
      <c r="J330" s="34"/>
      <c r="K330" s="20"/>
      <c r="L330" s="21"/>
      <c r="M330" s="42"/>
      <c r="N330" s="42"/>
      <c r="O330" s="42"/>
      <c r="P330" s="23"/>
      <c r="Q330" s="24"/>
    </row>
    <row r="331">
      <c r="A331" s="102"/>
      <c r="B331" s="104"/>
      <c r="C331" s="102"/>
      <c r="H331" s="34"/>
      <c r="I331" s="34"/>
      <c r="J331" s="34"/>
      <c r="K331" s="20"/>
      <c r="L331" s="21"/>
      <c r="M331" s="42"/>
      <c r="N331" s="42"/>
      <c r="O331" s="42"/>
      <c r="P331" s="23"/>
      <c r="Q331" s="24"/>
    </row>
    <row r="332">
      <c r="A332" s="102"/>
      <c r="B332" s="103"/>
      <c r="C332" s="102"/>
      <c r="H332" s="34"/>
      <c r="I332" s="34"/>
      <c r="J332" s="34"/>
      <c r="K332" s="20"/>
      <c r="L332" s="21"/>
      <c r="M332" s="42"/>
      <c r="N332" s="42"/>
      <c r="O332" s="42"/>
      <c r="P332" s="23"/>
      <c r="Q332" s="24"/>
    </row>
    <row r="333">
      <c r="A333" s="102"/>
      <c r="B333" s="104"/>
      <c r="C333" s="102"/>
      <c r="H333" s="34"/>
      <c r="I333" s="34"/>
      <c r="J333" s="34"/>
      <c r="K333" s="20"/>
      <c r="L333" s="21"/>
      <c r="M333" s="42"/>
      <c r="N333" s="42"/>
      <c r="O333" s="42"/>
      <c r="P333" s="23"/>
      <c r="Q333" s="24"/>
    </row>
    <row r="334">
      <c r="A334" s="102"/>
      <c r="B334" s="103"/>
      <c r="C334" s="102"/>
      <c r="H334" s="34"/>
      <c r="I334" s="34"/>
      <c r="J334" s="34"/>
      <c r="K334" s="20"/>
      <c r="L334" s="21"/>
      <c r="M334" s="42"/>
      <c r="N334" s="42"/>
      <c r="O334" s="42"/>
      <c r="P334" s="23"/>
      <c r="Q334" s="24"/>
    </row>
    <row r="335">
      <c r="A335" s="102"/>
      <c r="B335" s="104"/>
      <c r="C335" s="102"/>
      <c r="H335" s="34"/>
      <c r="I335" s="34"/>
      <c r="J335" s="34"/>
      <c r="K335" s="20"/>
      <c r="L335" s="21"/>
      <c r="M335" s="42"/>
      <c r="N335" s="42"/>
      <c r="O335" s="42"/>
      <c r="P335" s="23"/>
      <c r="Q335" s="24"/>
    </row>
    <row r="336">
      <c r="A336" s="102"/>
      <c r="B336" s="103"/>
      <c r="C336" s="102"/>
      <c r="H336" s="34"/>
      <c r="I336" s="34"/>
      <c r="J336" s="34"/>
      <c r="K336" s="20"/>
      <c r="L336" s="21"/>
      <c r="M336" s="42"/>
      <c r="N336" s="42"/>
      <c r="O336" s="42"/>
      <c r="P336" s="23"/>
      <c r="Q336" s="24"/>
    </row>
    <row r="337">
      <c r="A337" s="102"/>
      <c r="B337" s="104"/>
      <c r="C337" s="102"/>
      <c r="H337" s="34"/>
      <c r="I337" s="34"/>
      <c r="J337" s="34"/>
      <c r="K337" s="20"/>
      <c r="L337" s="21"/>
      <c r="M337" s="42"/>
      <c r="N337" s="42"/>
      <c r="O337" s="42"/>
      <c r="P337" s="23"/>
      <c r="Q337" s="24"/>
    </row>
    <row r="338">
      <c r="A338" s="102"/>
      <c r="B338" s="103"/>
      <c r="C338" s="102"/>
      <c r="H338" s="34"/>
      <c r="I338" s="34"/>
      <c r="J338" s="34"/>
      <c r="K338" s="20"/>
      <c r="L338" s="21"/>
      <c r="M338" s="42"/>
      <c r="N338" s="42"/>
      <c r="O338" s="42"/>
      <c r="P338" s="23"/>
      <c r="Q338" s="24"/>
    </row>
    <row r="339">
      <c r="A339" s="102"/>
      <c r="B339" s="104"/>
      <c r="C339" s="102"/>
      <c r="H339" s="34"/>
      <c r="I339" s="34"/>
      <c r="J339" s="34"/>
      <c r="K339" s="20"/>
      <c r="L339" s="21"/>
      <c r="M339" s="42"/>
      <c r="N339" s="42"/>
      <c r="O339" s="42"/>
      <c r="P339" s="23"/>
      <c r="Q339" s="24"/>
    </row>
    <row r="340">
      <c r="A340" s="102"/>
      <c r="B340" s="103"/>
      <c r="C340" s="102"/>
      <c r="H340" s="34"/>
      <c r="I340" s="34"/>
      <c r="J340" s="34"/>
      <c r="K340" s="20"/>
      <c r="L340" s="21"/>
      <c r="M340" s="42"/>
      <c r="N340" s="42"/>
      <c r="O340" s="42"/>
      <c r="P340" s="23"/>
      <c r="Q340" s="24"/>
    </row>
    <row r="341">
      <c r="A341" s="102"/>
      <c r="B341" s="104"/>
      <c r="C341" s="102"/>
      <c r="H341" s="34"/>
      <c r="I341" s="34"/>
      <c r="J341" s="34"/>
      <c r="K341" s="20"/>
      <c r="L341" s="21"/>
      <c r="M341" s="42"/>
      <c r="N341" s="42"/>
      <c r="O341" s="42"/>
      <c r="P341" s="23"/>
      <c r="Q341" s="24"/>
    </row>
    <row r="342">
      <c r="A342" s="102"/>
      <c r="B342" s="103"/>
      <c r="C342" s="102"/>
      <c r="H342" s="34"/>
      <c r="I342" s="34"/>
      <c r="J342" s="34"/>
      <c r="K342" s="20"/>
      <c r="L342" s="21"/>
      <c r="M342" s="42"/>
      <c r="N342" s="42"/>
      <c r="O342" s="42"/>
      <c r="P342" s="23"/>
      <c r="Q342" s="24"/>
    </row>
    <row r="343">
      <c r="A343" s="102"/>
      <c r="B343" s="104"/>
      <c r="C343" s="102"/>
      <c r="H343" s="34"/>
      <c r="I343" s="34"/>
      <c r="J343" s="34"/>
      <c r="K343" s="20"/>
      <c r="L343" s="21"/>
      <c r="M343" s="42"/>
      <c r="N343" s="42"/>
      <c r="O343" s="42"/>
      <c r="P343" s="23"/>
      <c r="Q343" s="24"/>
    </row>
    <row r="344">
      <c r="A344" s="102"/>
      <c r="B344" s="103"/>
      <c r="C344" s="102"/>
      <c r="H344" s="34"/>
      <c r="I344" s="34"/>
      <c r="J344" s="34"/>
      <c r="K344" s="20"/>
      <c r="L344" s="21"/>
      <c r="M344" s="42"/>
      <c r="N344" s="42"/>
      <c r="O344" s="42"/>
      <c r="P344" s="23"/>
      <c r="Q344" s="24"/>
    </row>
    <row r="345">
      <c r="A345" s="102"/>
      <c r="B345" s="104"/>
      <c r="C345" s="102"/>
      <c r="H345" s="34"/>
      <c r="I345" s="34"/>
      <c r="J345" s="34"/>
      <c r="K345" s="20"/>
      <c r="L345" s="21"/>
      <c r="M345" s="42"/>
      <c r="N345" s="42"/>
      <c r="O345" s="42"/>
      <c r="P345" s="23"/>
      <c r="Q345" s="24"/>
    </row>
    <row r="346">
      <c r="A346" s="102"/>
      <c r="B346" s="103"/>
      <c r="C346" s="102"/>
      <c r="H346" s="34"/>
      <c r="I346" s="34"/>
      <c r="J346" s="34"/>
      <c r="K346" s="20"/>
      <c r="L346" s="21"/>
      <c r="M346" s="42"/>
      <c r="N346" s="42"/>
      <c r="O346" s="42"/>
      <c r="P346" s="23"/>
      <c r="Q346" s="24"/>
    </row>
    <row r="347">
      <c r="A347" s="102"/>
      <c r="B347" s="104"/>
      <c r="C347" s="102"/>
      <c r="H347" s="34"/>
      <c r="I347" s="34"/>
      <c r="J347" s="34"/>
      <c r="K347" s="20"/>
      <c r="L347" s="21"/>
      <c r="M347" s="42"/>
      <c r="N347" s="42"/>
      <c r="O347" s="42"/>
      <c r="P347" s="23"/>
      <c r="Q347" s="24"/>
    </row>
    <row r="348">
      <c r="A348" s="102"/>
      <c r="B348" s="103"/>
      <c r="C348" s="102"/>
      <c r="H348" s="34"/>
      <c r="I348" s="34"/>
      <c r="J348" s="34"/>
      <c r="K348" s="20"/>
      <c r="L348" s="21"/>
      <c r="M348" s="42"/>
      <c r="N348" s="42"/>
      <c r="O348" s="42"/>
      <c r="P348" s="23"/>
      <c r="Q348" s="24"/>
    </row>
    <row r="349">
      <c r="A349" s="102"/>
      <c r="B349" s="104"/>
      <c r="C349" s="102"/>
      <c r="H349" s="34"/>
      <c r="I349" s="34"/>
      <c r="J349" s="34"/>
      <c r="K349" s="20"/>
      <c r="L349" s="21"/>
      <c r="M349" s="42"/>
      <c r="N349" s="42"/>
      <c r="O349" s="42"/>
      <c r="P349" s="23"/>
      <c r="Q349" s="24"/>
    </row>
    <row r="350">
      <c r="A350" s="102"/>
      <c r="B350" s="103"/>
      <c r="C350" s="102"/>
      <c r="H350" s="34"/>
      <c r="I350" s="34"/>
      <c r="J350" s="34"/>
      <c r="K350" s="20"/>
      <c r="L350" s="21"/>
      <c r="M350" s="42"/>
      <c r="N350" s="42"/>
      <c r="O350" s="42"/>
      <c r="P350" s="23"/>
      <c r="Q350" s="24"/>
    </row>
    <row r="351">
      <c r="A351" s="102"/>
      <c r="B351" s="104"/>
      <c r="C351" s="102"/>
      <c r="H351" s="34"/>
      <c r="I351" s="34"/>
      <c r="J351" s="34"/>
      <c r="K351" s="20"/>
      <c r="L351" s="21"/>
      <c r="M351" s="42"/>
      <c r="N351" s="42"/>
      <c r="O351" s="42"/>
      <c r="P351" s="23"/>
      <c r="Q351" s="24"/>
    </row>
    <row r="352">
      <c r="A352" s="102"/>
      <c r="B352" s="103"/>
      <c r="C352" s="102"/>
      <c r="H352" s="34"/>
      <c r="I352" s="34"/>
      <c r="J352" s="34"/>
      <c r="K352" s="20"/>
      <c r="L352" s="21"/>
      <c r="M352" s="42"/>
      <c r="N352" s="42"/>
      <c r="O352" s="42"/>
      <c r="P352" s="23"/>
      <c r="Q352" s="24"/>
    </row>
    <row r="353">
      <c r="A353" s="102"/>
      <c r="B353" s="104"/>
      <c r="C353" s="102"/>
      <c r="H353" s="34"/>
      <c r="I353" s="34"/>
      <c r="J353" s="34"/>
      <c r="K353" s="20"/>
      <c r="L353" s="21"/>
      <c r="M353" s="42"/>
      <c r="N353" s="42"/>
      <c r="O353" s="42"/>
      <c r="P353" s="23"/>
      <c r="Q353" s="24"/>
    </row>
    <row r="354">
      <c r="A354" s="102"/>
      <c r="B354" s="103"/>
      <c r="C354" s="102"/>
      <c r="H354" s="34"/>
      <c r="I354" s="34"/>
      <c r="J354" s="34"/>
      <c r="K354" s="20"/>
      <c r="L354" s="21"/>
      <c r="M354" s="42"/>
      <c r="N354" s="42"/>
      <c r="O354" s="42"/>
      <c r="P354" s="23"/>
      <c r="Q354" s="24"/>
    </row>
    <row r="355">
      <c r="A355" s="102"/>
      <c r="B355" s="104"/>
      <c r="C355" s="102"/>
      <c r="H355" s="34"/>
      <c r="I355" s="34"/>
      <c r="J355" s="34"/>
      <c r="K355" s="20"/>
      <c r="L355" s="21"/>
      <c r="M355" s="42"/>
      <c r="N355" s="42"/>
      <c r="O355" s="42"/>
      <c r="P355" s="23"/>
      <c r="Q355" s="24"/>
    </row>
    <row r="356">
      <c r="A356" s="102"/>
      <c r="B356" s="103"/>
      <c r="C356" s="102"/>
      <c r="H356" s="34"/>
      <c r="I356" s="34"/>
      <c r="J356" s="34"/>
      <c r="K356" s="20"/>
      <c r="L356" s="21"/>
      <c r="M356" s="42"/>
      <c r="N356" s="42"/>
      <c r="O356" s="42"/>
      <c r="P356" s="23"/>
      <c r="Q356" s="24"/>
    </row>
    <row r="357">
      <c r="A357" s="102"/>
      <c r="B357" s="104"/>
      <c r="C357" s="102"/>
      <c r="H357" s="34"/>
      <c r="I357" s="34"/>
      <c r="J357" s="34"/>
      <c r="K357" s="20"/>
      <c r="L357" s="21"/>
      <c r="M357" s="42"/>
      <c r="N357" s="42"/>
      <c r="O357" s="42"/>
      <c r="P357" s="23"/>
      <c r="Q357" s="24"/>
    </row>
    <row r="358">
      <c r="A358" s="102"/>
      <c r="B358" s="103"/>
      <c r="C358" s="102"/>
      <c r="H358" s="34"/>
      <c r="I358" s="34"/>
      <c r="J358" s="34"/>
      <c r="K358" s="20"/>
      <c r="L358" s="21"/>
      <c r="M358" s="42"/>
      <c r="N358" s="42"/>
      <c r="O358" s="42"/>
      <c r="P358" s="23"/>
      <c r="Q358" s="24"/>
    </row>
    <row r="359">
      <c r="A359" s="102"/>
      <c r="B359" s="104"/>
      <c r="C359" s="102"/>
      <c r="H359" s="34"/>
      <c r="I359" s="34"/>
      <c r="J359" s="34"/>
      <c r="K359" s="20"/>
      <c r="L359" s="21"/>
      <c r="M359" s="42"/>
      <c r="N359" s="42"/>
      <c r="O359" s="42"/>
      <c r="P359" s="23"/>
      <c r="Q359" s="24"/>
    </row>
    <row r="360">
      <c r="A360" s="102"/>
      <c r="B360" s="103"/>
      <c r="C360" s="102"/>
      <c r="H360" s="34"/>
      <c r="I360" s="34"/>
      <c r="J360" s="34"/>
      <c r="K360" s="20"/>
      <c r="L360" s="21"/>
      <c r="M360" s="42"/>
      <c r="N360" s="42"/>
      <c r="O360" s="42"/>
      <c r="P360" s="23"/>
      <c r="Q360" s="24"/>
    </row>
    <row r="361">
      <c r="A361" s="102"/>
      <c r="B361" s="104"/>
      <c r="C361" s="102"/>
      <c r="H361" s="34"/>
      <c r="I361" s="34"/>
      <c r="J361" s="34"/>
      <c r="K361" s="20"/>
      <c r="L361" s="21"/>
      <c r="M361" s="42"/>
      <c r="N361" s="42"/>
      <c r="O361" s="42"/>
      <c r="P361" s="23"/>
      <c r="Q361" s="24"/>
    </row>
    <row r="362">
      <c r="A362" s="102"/>
      <c r="B362" s="103"/>
      <c r="C362" s="102"/>
      <c r="H362" s="34"/>
      <c r="I362" s="34"/>
      <c r="J362" s="34"/>
      <c r="K362" s="20"/>
      <c r="L362" s="21"/>
      <c r="M362" s="42"/>
      <c r="N362" s="42"/>
      <c r="O362" s="42"/>
      <c r="P362" s="23"/>
      <c r="Q362" s="24"/>
    </row>
    <row r="363">
      <c r="A363" s="102"/>
      <c r="B363" s="104"/>
      <c r="C363" s="102"/>
      <c r="H363" s="34"/>
      <c r="I363" s="34"/>
      <c r="J363" s="34"/>
      <c r="K363" s="20"/>
      <c r="L363" s="21"/>
      <c r="M363" s="42"/>
      <c r="N363" s="42"/>
      <c r="O363" s="42"/>
      <c r="P363" s="23"/>
      <c r="Q363" s="24"/>
    </row>
    <row r="364">
      <c r="A364" s="102"/>
      <c r="B364" s="103"/>
      <c r="C364" s="102"/>
      <c r="H364" s="34"/>
      <c r="I364" s="34"/>
      <c r="J364" s="34"/>
      <c r="K364" s="20"/>
      <c r="L364" s="21"/>
      <c r="M364" s="42"/>
      <c r="N364" s="42"/>
      <c r="O364" s="42"/>
      <c r="P364" s="23"/>
      <c r="Q364" s="24"/>
    </row>
    <row r="365">
      <c r="A365" s="102"/>
      <c r="B365" s="104"/>
      <c r="C365" s="102"/>
      <c r="H365" s="34"/>
      <c r="I365" s="34"/>
      <c r="J365" s="34"/>
      <c r="K365" s="20"/>
      <c r="L365" s="21"/>
      <c r="M365" s="42"/>
      <c r="N365" s="42"/>
      <c r="O365" s="42"/>
      <c r="P365" s="23"/>
      <c r="Q365" s="24"/>
    </row>
    <row r="366">
      <c r="A366" s="102"/>
      <c r="B366" s="103"/>
      <c r="C366" s="102"/>
      <c r="H366" s="34"/>
      <c r="I366" s="34"/>
      <c r="J366" s="34"/>
      <c r="K366" s="20"/>
      <c r="L366" s="21"/>
      <c r="M366" s="42"/>
      <c r="N366" s="42"/>
      <c r="O366" s="42"/>
      <c r="P366" s="23"/>
      <c r="Q366" s="24"/>
    </row>
    <row r="367">
      <c r="A367" s="102"/>
      <c r="B367" s="104"/>
      <c r="C367" s="102"/>
      <c r="H367" s="34"/>
      <c r="I367" s="34"/>
      <c r="J367" s="34"/>
      <c r="K367" s="20"/>
      <c r="L367" s="21"/>
      <c r="M367" s="42"/>
      <c r="N367" s="42"/>
      <c r="O367" s="42"/>
      <c r="P367" s="23"/>
      <c r="Q367" s="24"/>
    </row>
    <row r="368">
      <c r="A368" s="102"/>
      <c r="B368" s="103"/>
      <c r="C368" s="102"/>
      <c r="H368" s="34"/>
      <c r="I368" s="34"/>
      <c r="J368" s="34"/>
      <c r="K368" s="20"/>
      <c r="L368" s="21"/>
      <c r="M368" s="42"/>
      <c r="N368" s="42"/>
      <c r="O368" s="42"/>
      <c r="P368" s="23"/>
      <c r="Q368" s="24"/>
    </row>
    <row r="369">
      <c r="A369" s="102"/>
      <c r="B369" s="104"/>
      <c r="C369" s="102"/>
      <c r="H369" s="34"/>
      <c r="I369" s="34"/>
      <c r="J369" s="34"/>
      <c r="K369" s="20"/>
      <c r="L369" s="21"/>
      <c r="M369" s="42"/>
      <c r="N369" s="42"/>
      <c r="O369" s="42"/>
      <c r="P369" s="23"/>
      <c r="Q369" s="24"/>
    </row>
    <row r="370">
      <c r="A370" s="102"/>
      <c r="B370" s="103"/>
      <c r="C370" s="102"/>
      <c r="H370" s="34"/>
      <c r="I370" s="34"/>
      <c r="J370" s="34"/>
      <c r="K370" s="20"/>
      <c r="L370" s="21"/>
      <c r="M370" s="42"/>
      <c r="N370" s="42"/>
      <c r="O370" s="42"/>
      <c r="P370" s="23"/>
      <c r="Q370" s="24"/>
    </row>
    <row r="371">
      <c r="A371" s="102"/>
      <c r="B371" s="104"/>
      <c r="C371" s="102"/>
      <c r="H371" s="34"/>
      <c r="I371" s="34"/>
      <c r="J371" s="34"/>
      <c r="K371" s="20"/>
      <c r="L371" s="21"/>
      <c r="M371" s="42"/>
      <c r="N371" s="42"/>
      <c r="O371" s="42"/>
      <c r="P371" s="23"/>
      <c r="Q371" s="24"/>
    </row>
    <row r="372">
      <c r="A372" s="102"/>
      <c r="B372" s="103"/>
      <c r="C372" s="102"/>
      <c r="H372" s="34"/>
      <c r="I372" s="34"/>
      <c r="J372" s="34"/>
      <c r="K372" s="20"/>
      <c r="L372" s="21"/>
      <c r="M372" s="42"/>
      <c r="N372" s="42"/>
      <c r="O372" s="42"/>
      <c r="P372" s="23"/>
      <c r="Q372" s="24"/>
    </row>
    <row r="373">
      <c r="A373" s="102"/>
      <c r="B373" s="104"/>
      <c r="C373" s="102"/>
      <c r="H373" s="34"/>
      <c r="I373" s="34"/>
      <c r="J373" s="34"/>
      <c r="K373" s="20"/>
      <c r="L373" s="21"/>
      <c r="M373" s="42"/>
      <c r="N373" s="42"/>
      <c r="O373" s="42"/>
      <c r="P373" s="23"/>
      <c r="Q373" s="24"/>
    </row>
    <row r="374">
      <c r="A374" s="102"/>
      <c r="B374" s="103"/>
      <c r="C374" s="102"/>
      <c r="H374" s="34"/>
      <c r="I374" s="34"/>
      <c r="J374" s="34"/>
      <c r="K374" s="20"/>
      <c r="L374" s="21"/>
      <c r="M374" s="42"/>
      <c r="N374" s="42"/>
      <c r="O374" s="42"/>
      <c r="P374" s="23"/>
      <c r="Q374" s="24"/>
    </row>
    <row r="375">
      <c r="A375" s="102"/>
      <c r="B375" s="104"/>
      <c r="C375" s="102"/>
      <c r="H375" s="34"/>
      <c r="I375" s="34"/>
      <c r="J375" s="34"/>
      <c r="K375" s="20"/>
      <c r="L375" s="21"/>
      <c r="M375" s="42"/>
      <c r="N375" s="42"/>
      <c r="O375" s="42"/>
      <c r="P375" s="23"/>
      <c r="Q375" s="24"/>
    </row>
    <row r="376">
      <c r="A376" s="102"/>
      <c r="B376" s="103"/>
      <c r="C376" s="102"/>
      <c r="H376" s="34"/>
      <c r="I376" s="34"/>
      <c r="J376" s="34"/>
      <c r="K376" s="20"/>
      <c r="L376" s="21"/>
      <c r="M376" s="42"/>
      <c r="N376" s="42"/>
      <c r="O376" s="42"/>
      <c r="P376" s="23"/>
      <c r="Q376" s="24"/>
    </row>
    <row r="377">
      <c r="A377" s="102"/>
      <c r="B377" s="104"/>
      <c r="C377" s="102"/>
      <c r="H377" s="34"/>
      <c r="I377" s="34"/>
      <c r="J377" s="34"/>
      <c r="K377" s="20"/>
      <c r="L377" s="21"/>
      <c r="M377" s="42"/>
      <c r="N377" s="42"/>
      <c r="O377" s="42"/>
      <c r="P377" s="23"/>
      <c r="Q377" s="24"/>
    </row>
    <row r="378">
      <c r="A378" s="102"/>
      <c r="B378" s="103"/>
      <c r="C378" s="102"/>
      <c r="H378" s="34"/>
      <c r="I378" s="34"/>
      <c r="J378" s="34"/>
      <c r="K378" s="20"/>
      <c r="L378" s="21"/>
      <c r="M378" s="42"/>
      <c r="N378" s="42"/>
      <c r="O378" s="42"/>
      <c r="P378" s="23"/>
      <c r="Q378" s="24"/>
    </row>
    <row r="379">
      <c r="A379" s="102"/>
      <c r="B379" s="104"/>
      <c r="C379" s="102"/>
      <c r="H379" s="34"/>
      <c r="I379" s="34"/>
      <c r="J379" s="34"/>
      <c r="K379" s="20"/>
      <c r="L379" s="21"/>
      <c r="M379" s="42"/>
      <c r="N379" s="42"/>
      <c r="O379" s="42"/>
      <c r="P379" s="23"/>
      <c r="Q379" s="24"/>
    </row>
    <row r="380">
      <c r="A380" s="102"/>
      <c r="B380" s="103"/>
      <c r="C380" s="102"/>
      <c r="H380" s="34"/>
      <c r="I380" s="34"/>
      <c r="J380" s="34"/>
      <c r="K380" s="20"/>
      <c r="L380" s="21"/>
      <c r="M380" s="42"/>
      <c r="N380" s="42"/>
      <c r="O380" s="42"/>
      <c r="P380" s="23"/>
      <c r="Q380" s="24"/>
    </row>
    <row r="381">
      <c r="A381" s="102"/>
      <c r="B381" s="104"/>
      <c r="C381" s="102"/>
      <c r="H381" s="34"/>
      <c r="I381" s="34"/>
      <c r="J381" s="34"/>
      <c r="K381" s="20"/>
      <c r="L381" s="21"/>
      <c r="M381" s="42"/>
      <c r="N381" s="42"/>
      <c r="O381" s="42"/>
      <c r="P381" s="23"/>
      <c r="Q381" s="24"/>
    </row>
    <row r="382">
      <c r="A382" s="102"/>
      <c r="B382" s="103"/>
      <c r="C382" s="102"/>
      <c r="H382" s="34"/>
      <c r="I382" s="34"/>
      <c r="J382" s="34"/>
      <c r="K382" s="20"/>
      <c r="L382" s="21"/>
      <c r="M382" s="42"/>
      <c r="N382" s="42"/>
      <c r="O382" s="42"/>
      <c r="P382" s="23"/>
      <c r="Q382" s="24"/>
    </row>
    <row r="383">
      <c r="A383" s="102"/>
      <c r="B383" s="104"/>
      <c r="C383" s="102"/>
      <c r="H383" s="34"/>
      <c r="I383" s="34"/>
      <c r="J383" s="34"/>
      <c r="K383" s="20"/>
      <c r="L383" s="21"/>
      <c r="M383" s="42"/>
      <c r="N383" s="42"/>
      <c r="O383" s="42"/>
      <c r="P383" s="23"/>
      <c r="Q383" s="24"/>
    </row>
    <row r="384">
      <c r="A384" s="102"/>
      <c r="B384" s="103"/>
      <c r="C384" s="102"/>
      <c r="H384" s="34"/>
      <c r="I384" s="34"/>
      <c r="J384" s="34"/>
      <c r="K384" s="20"/>
      <c r="L384" s="21"/>
      <c r="M384" s="42"/>
      <c r="N384" s="42"/>
      <c r="O384" s="42"/>
      <c r="P384" s="23"/>
      <c r="Q384" s="24"/>
    </row>
    <row r="385">
      <c r="A385" s="102"/>
      <c r="B385" s="104"/>
      <c r="C385" s="102"/>
      <c r="H385" s="34"/>
      <c r="I385" s="34"/>
      <c r="J385" s="34"/>
      <c r="K385" s="20"/>
      <c r="L385" s="21"/>
      <c r="M385" s="42"/>
      <c r="N385" s="42"/>
      <c r="O385" s="42"/>
      <c r="P385" s="23"/>
      <c r="Q385" s="24"/>
    </row>
    <row r="386">
      <c r="A386" s="102"/>
      <c r="B386" s="103"/>
      <c r="C386" s="102"/>
      <c r="H386" s="34"/>
      <c r="I386" s="34"/>
      <c r="J386" s="34"/>
      <c r="K386" s="20"/>
      <c r="L386" s="21"/>
      <c r="M386" s="42"/>
      <c r="N386" s="42"/>
      <c r="O386" s="42"/>
      <c r="P386" s="23"/>
      <c r="Q386" s="24"/>
    </row>
    <row r="387">
      <c r="A387" s="102"/>
      <c r="B387" s="104"/>
      <c r="C387" s="102"/>
      <c r="H387" s="34"/>
      <c r="I387" s="34"/>
      <c r="J387" s="34"/>
      <c r="K387" s="20"/>
      <c r="L387" s="21"/>
      <c r="M387" s="42"/>
      <c r="N387" s="42"/>
      <c r="O387" s="42"/>
      <c r="P387" s="23"/>
      <c r="Q387" s="24"/>
    </row>
    <row r="388">
      <c r="A388" s="102"/>
      <c r="B388" s="103"/>
      <c r="C388" s="102"/>
      <c r="H388" s="34"/>
      <c r="I388" s="34"/>
      <c r="J388" s="34"/>
      <c r="K388" s="20"/>
      <c r="L388" s="21"/>
      <c r="M388" s="42"/>
      <c r="N388" s="42"/>
      <c r="O388" s="42"/>
      <c r="P388" s="23"/>
      <c r="Q388" s="24"/>
    </row>
    <row r="389">
      <c r="A389" s="102"/>
      <c r="B389" s="104"/>
      <c r="C389" s="102"/>
      <c r="H389" s="34"/>
      <c r="I389" s="34"/>
      <c r="J389" s="34"/>
      <c r="K389" s="20"/>
      <c r="L389" s="21"/>
      <c r="M389" s="42"/>
      <c r="N389" s="42"/>
      <c r="O389" s="42"/>
      <c r="P389" s="23"/>
      <c r="Q389" s="24"/>
    </row>
    <row r="390">
      <c r="A390" s="102"/>
      <c r="B390" s="103"/>
      <c r="C390" s="102"/>
      <c r="H390" s="34"/>
      <c r="I390" s="34"/>
      <c r="J390" s="34"/>
      <c r="K390" s="20"/>
      <c r="L390" s="21"/>
      <c r="M390" s="42"/>
      <c r="N390" s="42"/>
      <c r="O390" s="42"/>
      <c r="P390" s="23"/>
      <c r="Q390" s="24"/>
    </row>
    <row r="391">
      <c r="A391" s="102"/>
      <c r="B391" s="104"/>
      <c r="C391" s="102"/>
      <c r="H391" s="34"/>
      <c r="I391" s="34"/>
      <c r="J391" s="34"/>
      <c r="K391" s="20"/>
      <c r="L391" s="21"/>
      <c r="M391" s="42"/>
      <c r="N391" s="42"/>
      <c r="O391" s="42"/>
      <c r="P391" s="23"/>
      <c r="Q391" s="24"/>
    </row>
    <row r="392">
      <c r="A392" s="102"/>
      <c r="B392" s="103"/>
      <c r="C392" s="102"/>
      <c r="H392" s="34"/>
      <c r="I392" s="34"/>
      <c r="J392" s="34"/>
      <c r="K392" s="20"/>
      <c r="L392" s="21"/>
      <c r="M392" s="42"/>
      <c r="N392" s="42"/>
      <c r="O392" s="42"/>
      <c r="P392" s="23"/>
      <c r="Q392" s="24"/>
    </row>
    <row r="393">
      <c r="A393" s="102"/>
      <c r="B393" s="104"/>
      <c r="C393" s="102"/>
      <c r="H393" s="34"/>
      <c r="I393" s="34"/>
      <c r="J393" s="34"/>
      <c r="K393" s="20"/>
      <c r="L393" s="21"/>
      <c r="M393" s="42"/>
      <c r="N393" s="42"/>
      <c r="O393" s="42"/>
      <c r="P393" s="23"/>
      <c r="Q393" s="24"/>
    </row>
    <row r="394">
      <c r="A394" s="102"/>
      <c r="B394" s="103"/>
      <c r="C394" s="102"/>
      <c r="H394" s="34"/>
      <c r="I394" s="34"/>
      <c r="J394" s="34"/>
      <c r="K394" s="20"/>
      <c r="L394" s="21"/>
      <c r="M394" s="42"/>
      <c r="N394" s="42"/>
      <c r="O394" s="42"/>
      <c r="P394" s="23"/>
      <c r="Q394" s="24"/>
    </row>
    <row r="395">
      <c r="A395" s="102"/>
      <c r="B395" s="104"/>
      <c r="C395" s="102"/>
      <c r="H395" s="34"/>
      <c r="I395" s="34"/>
      <c r="J395" s="34"/>
      <c r="K395" s="20"/>
      <c r="L395" s="21"/>
      <c r="M395" s="42"/>
      <c r="N395" s="42"/>
      <c r="O395" s="42"/>
      <c r="P395" s="23"/>
      <c r="Q395" s="24"/>
    </row>
    <row r="396">
      <c r="A396" s="102"/>
      <c r="B396" s="103"/>
      <c r="C396" s="102"/>
      <c r="H396" s="34"/>
      <c r="I396" s="34"/>
      <c r="J396" s="34"/>
      <c r="K396" s="20"/>
      <c r="L396" s="21"/>
      <c r="M396" s="42"/>
      <c r="N396" s="42"/>
      <c r="O396" s="42"/>
      <c r="P396" s="23"/>
      <c r="Q396" s="24"/>
    </row>
    <row r="397">
      <c r="A397" s="102"/>
      <c r="B397" s="104"/>
      <c r="C397" s="102"/>
      <c r="H397" s="34"/>
      <c r="I397" s="34"/>
      <c r="J397" s="34"/>
      <c r="K397" s="20"/>
      <c r="L397" s="21"/>
      <c r="M397" s="42"/>
      <c r="N397" s="42"/>
      <c r="O397" s="42"/>
      <c r="P397" s="23"/>
      <c r="Q397" s="24"/>
    </row>
    <row r="398">
      <c r="A398" s="102"/>
      <c r="B398" s="103"/>
      <c r="C398" s="102"/>
      <c r="H398" s="34"/>
      <c r="I398" s="34"/>
      <c r="J398" s="34"/>
      <c r="K398" s="20"/>
      <c r="L398" s="21"/>
      <c r="M398" s="42"/>
      <c r="N398" s="42"/>
      <c r="O398" s="42"/>
      <c r="P398" s="23"/>
      <c r="Q398" s="24"/>
    </row>
    <row r="399">
      <c r="A399" s="102"/>
      <c r="B399" s="104"/>
      <c r="C399" s="102"/>
      <c r="H399" s="34"/>
      <c r="I399" s="34"/>
      <c r="J399" s="34"/>
      <c r="K399" s="20"/>
      <c r="L399" s="21"/>
      <c r="M399" s="42"/>
      <c r="N399" s="42"/>
      <c r="O399" s="42"/>
      <c r="P399" s="23"/>
      <c r="Q399" s="24"/>
    </row>
    <row r="400">
      <c r="A400" s="102"/>
      <c r="B400" s="103"/>
      <c r="C400" s="102"/>
      <c r="H400" s="34"/>
      <c r="I400" s="34"/>
      <c r="J400" s="34"/>
      <c r="K400" s="20"/>
      <c r="L400" s="21"/>
      <c r="M400" s="42"/>
      <c r="N400" s="42"/>
      <c r="O400" s="42"/>
      <c r="P400" s="23"/>
      <c r="Q400" s="24"/>
    </row>
    <row r="401">
      <c r="A401" s="102"/>
      <c r="B401" s="104"/>
      <c r="C401" s="102"/>
      <c r="H401" s="34"/>
      <c r="I401" s="34"/>
      <c r="J401" s="34"/>
      <c r="K401" s="20"/>
      <c r="L401" s="21"/>
      <c r="M401" s="42"/>
      <c r="N401" s="42"/>
      <c r="O401" s="42"/>
      <c r="P401" s="23"/>
      <c r="Q401" s="24"/>
    </row>
    <row r="402">
      <c r="A402" s="102"/>
      <c r="B402" s="103"/>
      <c r="C402" s="102"/>
      <c r="H402" s="34"/>
      <c r="I402" s="34"/>
      <c r="J402" s="34"/>
      <c r="K402" s="20"/>
      <c r="L402" s="21"/>
      <c r="M402" s="42"/>
      <c r="N402" s="42"/>
      <c r="O402" s="42"/>
      <c r="P402" s="23"/>
      <c r="Q402" s="24"/>
    </row>
    <row r="403">
      <c r="A403" s="102"/>
      <c r="B403" s="104"/>
      <c r="C403" s="102"/>
      <c r="H403" s="34"/>
      <c r="I403" s="34"/>
      <c r="J403" s="34"/>
      <c r="K403" s="20"/>
      <c r="L403" s="21"/>
      <c r="M403" s="42"/>
      <c r="N403" s="42"/>
      <c r="O403" s="42"/>
      <c r="P403" s="23"/>
      <c r="Q403" s="24"/>
    </row>
    <row r="404">
      <c r="A404" s="102"/>
      <c r="B404" s="103"/>
      <c r="C404" s="102"/>
      <c r="H404" s="34"/>
      <c r="I404" s="34"/>
      <c r="J404" s="34"/>
      <c r="K404" s="20"/>
      <c r="L404" s="21"/>
      <c r="M404" s="42"/>
      <c r="N404" s="42"/>
      <c r="O404" s="42"/>
      <c r="P404" s="23"/>
      <c r="Q404" s="24"/>
    </row>
    <row r="405">
      <c r="A405" s="102"/>
      <c r="B405" s="104"/>
      <c r="C405" s="102"/>
      <c r="H405" s="34"/>
      <c r="I405" s="34"/>
      <c r="J405" s="34"/>
      <c r="K405" s="20"/>
      <c r="L405" s="21"/>
      <c r="M405" s="42"/>
      <c r="N405" s="42"/>
      <c r="O405" s="42"/>
      <c r="P405" s="23"/>
      <c r="Q405" s="24"/>
    </row>
    <row r="406">
      <c r="A406" s="102"/>
      <c r="B406" s="103"/>
      <c r="C406" s="102"/>
      <c r="H406" s="34"/>
      <c r="I406" s="34"/>
      <c r="J406" s="34"/>
      <c r="K406" s="20"/>
      <c r="L406" s="21"/>
      <c r="M406" s="42"/>
      <c r="N406" s="42"/>
      <c r="O406" s="42"/>
      <c r="P406" s="23"/>
      <c r="Q406" s="24"/>
    </row>
    <row r="407">
      <c r="A407" s="102"/>
      <c r="B407" s="104"/>
      <c r="C407" s="102"/>
      <c r="H407" s="34"/>
      <c r="I407" s="34"/>
      <c r="J407" s="34"/>
      <c r="K407" s="20"/>
      <c r="L407" s="21"/>
      <c r="M407" s="42"/>
      <c r="N407" s="42"/>
      <c r="O407" s="42"/>
      <c r="P407" s="23"/>
      <c r="Q407" s="24"/>
    </row>
    <row r="408">
      <c r="A408" s="102"/>
      <c r="B408" s="103"/>
      <c r="C408" s="102"/>
      <c r="H408" s="34"/>
      <c r="I408" s="34"/>
      <c r="J408" s="34"/>
      <c r="K408" s="20"/>
      <c r="L408" s="21"/>
      <c r="M408" s="42"/>
      <c r="N408" s="42"/>
      <c r="O408" s="42"/>
      <c r="P408" s="23"/>
      <c r="Q408" s="24"/>
    </row>
    <row r="409">
      <c r="A409" s="102"/>
      <c r="B409" s="104"/>
      <c r="C409" s="102"/>
      <c r="H409" s="34"/>
      <c r="I409" s="34"/>
      <c r="J409" s="34"/>
      <c r="K409" s="20"/>
      <c r="L409" s="21"/>
      <c r="M409" s="42"/>
      <c r="N409" s="42"/>
      <c r="O409" s="42"/>
      <c r="P409" s="23"/>
      <c r="Q409" s="24"/>
    </row>
    <row r="410">
      <c r="A410" s="102"/>
      <c r="B410" s="103"/>
      <c r="C410" s="102"/>
      <c r="H410" s="34"/>
      <c r="I410" s="34"/>
      <c r="J410" s="34"/>
      <c r="K410" s="20"/>
      <c r="L410" s="21"/>
      <c r="M410" s="42"/>
      <c r="N410" s="42"/>
      <c r="O410" s="42"/>
      <c r="P410" s="23"/>
      <c r="Q410" s="24"/>
    </row>
    <row r="411">
      <c r="A411" s="102"/>
      <c r="B411" s="104"/>
      <c r="C411" s="102"/>
      <c r="H411" s="34"/>
      <c r="I411" s="34"/>
      <c r="J411" s="34"/>
      <c r="K411" s="20"/>
      <c r="L411" s="21"/>
      <c r="M411" s="42"/>
      <c r="N411" s="42"/>
      <c r="O411" s="42"/>
      <c r="P411" s="23"/>
      <c r="Q411" s="24"/>
    </row>
    <row r="412">
      <c r="A412" s="102"/>
      <c r="B412" s="103"/>
      <c r="C412" s="102"/>
      <c r="H412" s="34"/>
      <c r="I412" s="34"/>
      <c r="J412" s="34"/>
      <c r="K412" s="20"/>
      <c r="L412" s="21"/>
      <c r="M412" s="42"/>
      <c r="N412" s="42"/>
      <c r="O412" s="42"/>
      <c r="P412" s="23"/>
      <c r="Q412" s="24"/>
    </row>
    <row r="413">
      <c r="A413" s="102"/>
      <c r="B413" s="104"/>
      <c r="C413" s="102"/>
      <c r="H413" s="34"/>
      <c r="I413" s="34"/>
      <c r="J413" s="34"/>
      <c r="K413" s="20"/>
      <c r="L413" s="21"/>
      <c r="M413" s="42"/>
      <c r="N413" s="42"/>
      <c r="O413" s="42"/>
      <c r="P413" s="23"/>
      <c r="Q413" s="24"/>
    </row>
    <row r="414">
      <c r="A414" s="102"/>
      <c r="B414" s="103"/>
      <c r="C414" s="102"/>
      <c r="H414" s="34"/>
      <c r="I414" s="34"/>
      <c r="J414" s="34"/>
      <c r="K414" s="20"/>
      <c r="L414" s="21"/>
      <c r="M414" s="42"/>
      <c r="N414" s="42"/>
      <c r="O414" s="42"/>
      <c r="P414" s="23"/>
      <c r="Q414" s="24"/>
    </row>
    <row r="415">
      <c r="A415" s="102"/>
      <c r="B415" s="104"/>
      <c r="C415" s="102"/>
      <c r="H415" s="34"/>
      <c r="I415" s="34"/>
      <c r="J415" s="34"/>
      <c r="K415" s="20"/>
      <c r="L415" s="21"/>
      <c r="M415" s="42"/>
      <c r="N415" s="42"/>
      <c r="O415" s="42"/>
      <c r="P415" s="23"/>
      <c r="Q415" s="24"/>
    </row>
    <row r="416">
      <c r="A416" s="102"/>
      <c r="B416" s="103"/>
      <c r="C416" s="102"/>
      <c r="H416" s="34"/>
      <c r="I416" s="34"/>
      <c r="J416" s="34"/>
      <c r="K416" s="20"/>
      <c r="L416" s="21"/>
      <c r="M416" s="42"/>
      <c r="N416" s="42"/>
      <c r="O416" s="42"/>
      <c r="P416" s="23"/>
      <c r="Q416" s="24"/>
    </row>
    <row r="417">
      <c r="A417" s="102"/>
      <c r="B417" s="104"/>
      <c r="C417" s="102"/>
      <c r="H417" s="34"/>
      <c r="I417" s="34"/>
      <c r="J417" s="34"/>
      <c r="K417" s="20"/>
      <c r="L417" s="21"/>
      <c r="M417" s="42"/>
      <c r="N417" s="42"/>
      <c r="O417" s="42"/>
      <c r="P417" s="23"/>
      <c r="Q417" s="24"/>
    </row>
    <row r="418">
      <c r="A418" s="102"/>
      <c r="B418" s="103"/>
      <c r="C418" s="102"/>
      <c r="H418" s="34"/>
      <c r="I418" s="34"/>
      <c r="J418" s="34"/>
      <c r="K418" s="20"/>
      <c r="L418" s="21"/>
      <c r="M418" s="42"/>
      <c r="N418" s="42"/>
      <c r="O418" s="42"/>
      <c r="P418" s="23"/>
      <c r="Q418" s="24"/>
    </row>
    <row r="419">
      <c r="A419" s="102"/>
      <c r="B419" s="104"/>
      <c r="C419" s="102"/>
      <c r="H419" s="34"/>
      <c r="I419" s="34"/>
      <c r="J419" s="34"/>
      <c r="K419" s="20"/>
      <c r="L419" s="21"/>
      <c r="M419" s="42"/>
      <c r="N419" s="42"/>
      <c r="O419" s="42"/>
      <c r="P419" s="23"/>
      <c r="Q419" s="24"/>
    </row>
    <row r="420">
      <c r="A420" s="102"/>
      <c r="B420" s="103"/>
      <c r="C420" s="102"/>
      <c r="H420" s="34"/>
      <c r="I420" s="34"/>
      <c r="J420" s="34"/>
      <c r="K420" s="20"/>
      <c r="L420" s="21"/>
      <c r="M420" s="42"/>
      <c r="N420" s="42"/>
      <c r="O420" s="42"/>
      <c r="P420" s="23"/>
      <c r="Q420" s="24"/>
    </row>
    <row r="421">
      <c r="A421" s="102"/>
      <c r="B421" s="104"/>
      <c r="C421" s="102"/>
      <c r="H421" s="34"/>
      <c r="I421" s="34"/>
      <c r="J421" s="34"/>
      <c r="K421" s="20"/>
      <c r="L421" s="21"/>
      <c r="M421" s="42"/>
      <c r="N421" s="42"/>
      <c r="O421" s="42"/>
      <c r="P421" s="23"/>
      <c r="Q421" s="24"/>
    </row>
    <row r="422">
      <c r="A422" s="102"/>
      <c r="B422" s="103"/>
      <c r="C422" s="102"/>
      <c r="H422" s="34"/>
      <c r="I422" s="34"/>
      <c r="J422" s="34"/>
      <c r="K422" s="20"/>
      <c r="L422" s="21"/>
      <c r="M422" s="42"/>
      <c r="N422" s="42"/>
      <c r="O422" s="42"/>
      <c r="P422" s="23"/>
      <c r="Q422" s="24"/>
    </row>
    <row r="423">
      <c r="A423" s="102"/>
      <c r="B423" s="104"/>
      <c r="C423" s="102"/>
      <c r="H423" s="34"/>
      <c r="I423" s="34"/>
      <c r="J423" s="34"/>
      <c r="K423" s="20"/>
      <c r="L423" s="21"/>
      <c r="M423" s="42"/>
      <c r="N423" s="42"/>
      <c r="O423" s="42"/>
      <c r="P423" s="23"/>
      <c r="Q423" s="24"/>
    </row>
    <row r="424">
      <c r="A424" s="102"/>
      <c r="B424" s="103"/>
      <c r="C424" s="102"/>
      <c r="H424" s="34"/>
      <c r="I424" s="34"/>
      <c r="J424" s="34"/>
      <c r="K424" s="20"/>
      <c r="L424" s="21"/>
      <c r="M424" s="42"/>
      <c r="N424" s="42"/>
      <c r="O424" s="42"/>
      <c r="P424" s="23"/>
      <c r="Q424" s="24"/>
    </row>
    <row r="425">
      <c r="A425" s="102"/>
      <c r="B425" s="104"/>
      <c r="C425" s="102"/>
      <c r="H425" s="34"/>
      <c r="I425" s="34"/>
      <c r="J425" s="34"/>
      <c r="K425" s="20"/>
      <c r="L425" s="21"/>
      <c r="M425" s="42"/>
      <c r="N425" s="42"/>
      <c r="O425" s="42"/>
      <c r="P425" s="23"/>
      <c r="Q425" s="24"/>
    </row>
    <row r="426">
      <c r="A426" s="102"/>
      <c r="B426" s="103"/>
      <c r="C426" s="102"/>
      <c r="H426" s="34"/>
      <c r="I426" s="34"/>
      <c r="J426" s="34"/>
      <c r="K426" s="20"/>
      <c r="L426" s="21"/>
      <c r="M426" s="42"/>
      <c r="N426" s="42"/>
      <c r="O426" s="42"/>
      <c r="P426" s="23"/>
      <c r="Q426" s="24"/>
    </row>
    <row r="427">
      <c r="A427" s="102"/>
      <c r="B427" s="104"/>
      <c r="C427" s="102"/>
      <c r="H427" s="34"/>
      <c r="I427" s="34"/>
      <c r="J427" s="34"/>
      <c r="K427" s="20"/>
      <c r="L427" s="21"/>
      <c r="M427" s="42"/>
      <c r="N427" s="42"/>
      <c r="O427" s="42"/>
      <c r="P427" s="23"/>
      <c r="Q427" s="24"/>
    </row>
    <row r="428">
      <c r="A428" s="102"/>
      <c r="B428" s="103"/>
      <c r="C428" s="102"/>
      <c r="H428" s="34"/>
      <c r="I428" s="34"/>
      <c r="J428" s="34"/>
      <c r="K428" s="20"/>
      <c r="L428" s="21"/>
      <c r="M428" s="42"/>
      <c r="N428" s="42"/>
      <c r="O428" s="42"/>
      <c r="P428" s="23"/>
      <c r="Q428" s="24"/>
    </row>
    <row r="429">
      <c r="A429" s="102"/>
      <c r="B429" s="104"/>
      <c r="C429" s="102"/>
      <c r="H429" s="34"/>
      <c r="I429" s="34"/>
      <c r="J429" s="34"/>
      <c r="K429" s="20"/>
      <c r="L429" s="21"/>
      <c r="M429" s="42"/>
      <c r="N429" s="42"/>
      <c r="O429" s="42"/>
      <c r="P429" s="23"/>
      <c r="Q429" s="24"/>
    </row>
    <row r="430">
      <c r="A430" s="102"/>
      <c r="B430" s="103"/>
      <c r="C430" s="102"/>
      <c r="H430" s="34"/>
      <c r="I430" s="34"/>
      <c r="J430" s="34"/>
      <c r="K430" s="20"/>
      <c r="L430" s="21"/>
      <c r="M430" s="42"/>
      <c r="N430" s="42"/>
      <c r="O430" s="42"/>
      <c r="P430" s="23"/>
      <c r="Q430" s="24"/>
    </row>
    <row r="431">
      <c r="A431" s="102"/>
      <c r="B431" s="104"/>
      <c r="C431" s="102"/>
      <c r="H431" s="34"/>
      <c r="I431" s="34"/>
      <c r="J431" s="34"/>
      <c r="K431" s="20"/>
      <c r="L431" s="21"/>
      <c r="M431" s="42"/>
      <c r="N431" s="42"/>
      <c r="O431" s="42"/>
      <c r="P431" s="23"/>
      <c r="Q431" s="24"/>
    </row>
    <row r="432">
      <c r="A432" s="102"/>
      <c r="B432" s="103"/>
      <c r="C432" s="102"/>
      <c r="H432" s="34"/>
      <c r="I432" s="34"/>
      <c r="J432" s="34"/>
      <c r="K432" s="20"/>
      <c r="L432" s="21"/>
      <c r="M432" s="42"/>
      <c r="N432" s="42"/>
      <c r="O432" s="42"/>
      <c r="P432" s="23"/>
      <c r="Q432" s="24"/>
    </row>
    <row r="433">
      <c r="A433" s="102"/>
      <c r="B433" s="104"/>
      <c r="C433" s="102"/>
      <c r="H433" s="34"/>
      <c r="I433" s="34"/>
      <c r="J433" s="34"/>
      <c r="K433" s="20"/>
      <c r="L433" s="21"/>
      <c r="M433" s="42"/>
      <c r="N433" s="42"/>
      <c r="O433" s="42"/>
      <c r="P433" s="23"/>
      <c r="Q433" s="24"/>
    </row>
    <row r="434">
      <c r="A434" s="102"/>
      <c r="B434" s="103"/>
      <c r="C434" s="102"/>
      <c r="H434" s="34"/>
      <c r="I434" s="34"/>
      <c r="J434" s="34"/>
      <c r="K434" s="20"/>
      <c r="L434" s="21"/>
      <c r="M434" s="42"/>
      <c r="N434" s="42"/>
      <c r="O434" s="42"/>
      <c r="P434" s="23"/>
      <c r="Q434" s="24"/>
    </row>
    <row r="435">
      <c r="A435" s="102"/>
      <c r="B435" s="104"/>
      <c r="C435" s="102"/>
      <c r="H435" s="34"/>
      <c r="I435" s="34"/>
      <c r="J435" s="34"/>
      <c r="K435" s="20"/>
      <c r="L435" s="21"/>
      <c r="M435" s="42"/>
      <c r="N435" s="42"/>
      <c r="O435" s="42"/>
      <c r="P435" s="23"/>
      <c r="Q435" s="24"/>
    </row>
    <row r="436">
      <c r="A436" s="102"/>
      <c r="B436" s="103"/>
      <c r="C436" s="102"/>
      <c r="H436" s="34"/>
      <c r="I436" s="34"/>
      <c r="J436" s="34"/>
      <c r="K436" s="20"/>
      <c r="L436" s="21"/>
      <c r="M436" s="42"/>
      <c r="N436" s="42"/>
      <c r="O436" s="42"/>
      <c r="P436" s="23"/>
      <c r="Q436" s="24"/>
    </row>
    <row r="437">
      <c r="A437" s="102"/>
      <c r="B437" s="104"/>
      <c r="C437" s="102"/>
      <c r="H437" s="34"/>
      <c r="I437" s="34"/>
      <c r="J437" s="34"/>
      <c r="K437" s="20"/>
      <c r="L437" s="21"/>
      <c r="M437" s="42"/>
      <c r="N437" s="42"/>
      <c r="O437" s="42"/>
      <c r="P437" s="23"/>
      <c r="Q437" s="24"/>
    </row>
    <row r="438">
      <c r="A438" s="102"/>
      <c r="B438" s="103"/>
      <c r="C438" s="102"/>
      <c r="H438" s="34"/>
      <c r="I438" s="34"/>
      <c r="J438" s="34"/>
      <c r="K438" s="20"/>
      <c r="L438" s="21"/>
      <c r="M438" s="42"/>
      <c r="N438" s="42"/>
      <c r="O438" s="42"/>
      <c r="P438" s="23"/>
      <c r="Q438" s="24"/>
    </row>
    <row r="439">
      <c r="A439" s="102"/>
      <c r="B439" s="104"/>
      <c r="C439" s="102"/>
      <c r="H439" s="34"/>
      <c r="I439" s="34"/>
      <c r="J439" s="34"/>
      <c r="K439" s="20"/>
      <c r="L439" s="21"/>
      <c r="M439" s="42"/>
      <c r="N439" s="42"/>
      <c r="O439" s="42"/>
      <c r="P439" s="23"/>
      <c r="Q439" s="24"/>
    </row>
    <row r="440">
      <c r="A440" s="102"/>
      <c r="B440" s="103"/>
      <c r="C440" s="102"/>
      <c r="H440" s="34"/>
      <c r="I440" s="34"/>
      <c r="J440" s="34"/>
      <c r="K440" s="20"/>
      <c r="L440" s="21"/>
      <c r="M440" s="42"/>
      <c r="N440" s="42"/>
      <c r="O440" s="42"/>
      <c r="P440" s="23"/>
      <c r="Q440" s="24"/>
    </row>
    <row r="441">
      <c r="A441" s="102"/>
      <c r="B441" s="104"/>
      <c r="C441" s="102"/>
      <c r="H441" s="34"/>
      <c r="I441" s="34"/>
      <c r="J441" s="34"/>
      <c r="K441" s="20"/>
      <c r="L441" s="21"/>
      <c r="M441" s="42"/>
      <c r="N441" s="42"/>
      <c r="O441" s="42"/>
      <c r="P441" s="23"/>
      <c r="Q441" s="24"/>
    </row>
    <row r="442">
      <c r="A442" s="102"/>
      <c r="B442" s="103"/>
      <c r="C442" s="102"/>
      <c r="H442" s="34"/>
      <c r="I442" s="34"/>
      <c r="J442" s="34"/>
      <c r="K442" s="20"/>
      <c r="L442" s="21"/>
      <c r="M442" s="42"/>
      <c r="N442" s="42"/>
      <c r="O442" s="42"/>
      <c r="P442" s="23"/>
      <c r="Q442" s="24"/>
    </row>
    <row r="443">
      <c r="A443" s="102"/>
      <c r="B443" s="104"/>
      <c r="C443" s="102"/>
      <c r="H443" s="34"/>
      <c r="I443" s="34"/>
      <c r="J443" s="34"/>
      <c r="K443" s="20"/>
      <c r="L443" s="21"/>
      <c r="M443" s="42"/>
      <c r="N443" s="42"/>
      <c r="O443" s="42"/>
      <c r="P443" s="23"/>
      <c r="Q443" s="24"/>
    </row>
    <row r="444">
      <c r="A444" s="102"/>
      <c r="B444" s="103"/>
      <c r="C444" s="102"/>
      <c r="H444" s="34"/>
      <c r="I444" s="34"/>
      <c r="J444" s="34"/>
      <c r="K444" s="20"/>
      <c r="L444" s="21"/>
      <c r="M444" s="42"/>
      <c r="N444" s="42"/>
      <c r="O444" s="42"/>
      <c r="P444" s="23"/>
      <c r="Q444" s="24"/>
    </row>
    <row r="445">
      <c r="A445" s="102"/>
      <c r="B445" s="104"/>
      <c r="C445" s="102"/>
      <c r="H445" s="34"/>
      <c r="I445" s="34"/>
      <c r="J445" s="34"/>
      <c r="K445" s="20"/>
      <c r="L445" s="21"/>
      <c r="M445" s="42"/>
      <c r="N445" s="42"/>
      <c r="O445" s="42"/>
      <c r="P445" s="23"/>
      <c r="Q445" s="24"/>
    </row>
    <row r="446">
      <c r="A446" s="102"/>
      <c r="B446" s="103"/>
      <c r="C446" s="102"/>
      <c r="H446" s="34"/>
      <c r="I446" s="34"/>
      <c r="J446" s="34"/>
      <c r="K446" s="20"/>
      <c r="L446" s="21"/>
      <c r="M446" s="42"/>
      <c r="N446" s="42"/>
      <c r="O446" s="42"/>
      <c r="P446" s="23"/>
      <c r="Q446" s="24"/>
    </row>
    <row r="447">
      <c r="A447" s="102"/>
      <c r="B447" s="104"/>
      <c r="C447" s="102"/>
      <c r="H447" s="34"/>
      <c r="I447" s="34"/>
      <c r="J447" s="34"/>
      <c r="K447" s="20"/>
      <c r="L447" s="21"/>
      <c r="M447" s="42"/>
      <c r="N447" s="42"/>
      <c r="O447" s="42"/>
      <c r="P447" s="23"/>
      <c r="Q447" s="24"/>
    </row>
    <row r="448">
      <c r="A448" s="102"/>
      <c r="B448" s="103"/>
      <c r="C448" s="102"/>
      <c r="H448" s="34"/>
      <c r="I448" s="34"/>
      <c r="J448" s="34"/>
      <c r="K448" s="20"/>
      <c r="L448" s="21"/>
      <c r="M448" s="42"/>
      <c r="N448" s="42"/>
      <c r="O448" s="42"/>
      <c r="P448" s="23"/>
      <c r="Q448" s="24"/>
    </row>
    <row r="449">
      <c r="A449" s="102"/>
      <c r="B449" s="104"/>
      <c r="C449" s="102"/>
      <c r="H449" s="34"/>
      <c r="I449" s="34"/>
      <c r="J449" s="34"/>
      <c r="K449" s="20"/>
      <c r="L449" s="21"/>
      <c r="M449" s="42"/>
      <c r="N449" s="42"/>
      <c r="O449" s="42"/>
      <c r="P449" s="23"/>
      <c r="Q449" s="24"/>
    </row>
    <row r="450">
      <c r="A450" s="102"/>
      <c r="B450" s="103"/>
      <c r="C450" s="102"/>
      <c r="H450" s="34"/>
      <c r="I450" s="34"/>
      <c r="J450" s="34"/>
      <c r="K450" s="20"/>
      <c r="L450" s="21"/>
      <c r="M450" s="42"/>
      <c r="N450" s="42"/>
      <c r="O450" s="42"/>
      <c r="P450" s="23"/>
      <c r="Q450" s="24"/>
    </row>
    <row r="451">
      <c r="A451" s="102"/>
      <c r="B451" s="104"/>
      <c r="C451" s="102"/>
      <c r="H451" s="34"/>
      <c r="I451" s="34"/>
      <c r="J451" s="34"/>
      <c r="K451" s="20"/>
      <c r="L451" s="21"/>
      <c r="M451" s="42"/>
      <c r="N451" s="42"/>
      <c r="O451" s="42"/>
      <c r="P451" s="23"/>
      <c r="Q451" s="24"/>
    </row>
    <row r="452">
      <c r="A452" s="102"/>
      <c r="B452" s="103"/>
      <c r="C452" s="102"/>
      <c r="H452" s="34"/>
      <c r="I452" s="34"/>
      <c r="J452" s="34"/>
      <c r="K452" s="20"/>
      <c r="L452" s="21"/>
      <c r="M452" s="42"/>
      <c r="N452" s="42"/>
      <c r="O452" s="42"/>
      <c r="P452" s="23"/>
      <c r="Q452" s="24"/>
    </row>
    <row r="453">
      <c r="A453" s="102"/>
      <c r="B453" s="104"/>
      <c r="C453" s="102"/>
      <c r="H453" s="34"/>
      <c r="I453" s="34"/>
      <c r="J453" s="34"/>
      <c r="K453" s="20"/>
      <c r="L453" s="21"/>
      <c r="M453" s="42"/>
      <c r="N453" s="42"/>
      <c r="O453" s="42"/>
      <c r="P453" s="23"/>
      <c r="Q453" s="24"/>
    </row>
    <row r="454">
      <c r="A454" s="102"/>
      <c r="B454" s="103"/>
      <c r="C454" s="102"/>
      <c r="H454" s="34"/>
      <c r="I454" s="34"/>
      <c r="J454" s="34"/>
      <c r="K454" s="20"/>
      <c r="L454" s="21"/>
      <c r="M454" s="42"/>
      <c r="N454" s="42"/>
      <c r="O454" s="42"/>
      <c r="P454" s="23"/>
      <c r="Q454" s="24"/>
    </row>
    <row r="455">
      <c r="A455" s="102"/>
      <c r="B455" s="104"/>
      <c r="C455" s="102"/>
      <c r="H455" s="34"/>
      <c r="I455" s="34"/>
      <c r="J455" s="34"/>
      <c r="K455" s="20"/>
      <c r="L455" s="21"/>
      <c r="M455" s="42"/>
      <c r="N455" s="42"/>
      <c r="O455" s="42"/>
      <c r="P455" s="23"/>
      <c r="Q455" s="24"/>
    </row>
    <row r="456">
      <c r="A456" s="102"/>
      <c r="B456" s="103"/>
      <c r="C456" s="102"/>
      <c r="H456" s="34"/>
      <c r="I456" s="34"/>
      <c r="J456" s="34"/>
      <c r="K456" s="20"/>
      <c r="L456" s="21"/>
      <c r="M456" s="42"/>
      <c r="N456" s="42"/>
      <c r="O456" s="42"/>
      <c r="P456" s="23"/>
      <c r="Q456" s="24"/>
    </row>
    <row r="457">
      <c r="A457" s="102"/>
      <c r="B457" s="104"/>
      <c r="C457" s="102"/>
      <c r="H457" s="34"/>
      <c r="I457" s="34"/>
      <c r="J457" s="34"/>
      <c r="K457" s="20"/>
      <c r="L457" s="21"/>
      <c r="M457" s="42"/>
      <c r="N457" s="42"/>
      <c r="O457" s="42"/>
      <c r="P457" s="23"/>
      <c r="Q457" s="24"/>
    </row>
    <row r="458">
      <c r="A458" s="102"/>
      <c r="B458" s="103"/>
      <c r="C458" s="102"/>
      <c r="H458" s="34"/>
      <c r="I458" s="34"/>
      <c r="J458" s="34"/>
      <c r="K458" s="20"/>
      <c r="L458" s="21"/>
      <c r="M458" s="42"/>
      <c r="N458" s="42"/>
      <c r="O458" s="42"/>
      <c r="P458" s="23"/>
      <c r="Q458" s="24"/>
    </row>
    <row r="459">
      <c r="A459" s="102"/>
      <c r="B459" s="104"/>
      <c r="C459" s="102"/>
      <c r="H459" s="34"/>
      <c r="I459" s="34"/>
      <c r="J459" s="34"/>
      <c r="K459" s="20"/>
      <c r="L459" s="21"/>
      <c r="M459" s="42"/>
      <c r="N459" s="42"/>
      <c r="O459" s="42"/>
      <c r="P459" s="23"/>
      <c r="Q459" s="24"/>
    </row>
    <row r="460">
      <c r="A460" s="102"/>
      <c r="B460" s="103"/>
      <c r="C460" s="102"/>
      <c r="H460" s="34"/>
      <c r="I460" s="34"/>
      <c r="J460" s="34"/>
      <c r="K460" s="20"/>
      <c r="L460" s="21"/>
      <c r="M460" s="42"/>
      <c r="N460" s="42"/>
      <c r="O460" s="42"/>
      <c r="P460" s="23"/>
      <c r="Q460" s="24"/>
    </row>
    <row r="461">
      <c r="A461" s="102"/>
      <c r="B461" s="104"/>
      <c r="C461" s="102"/>
      <c r="H461" s="34"/>
      <c r="I461" s="34"/>
      <c r="J461" s="34"/>
      <c r="K461" s="20"/>
      <c r="L461" s="21"/>
      <c r="M461" s="42"/>
      <c r="N461" s="42"/>
      <c r="O461" s="42"/>
      <c r="P461" s="23"/>
      <c r="Q461" s="24"/>
    </row>
    <row r="462">
      <c r="A462" s="102"/>
      <c r="B462" s="103"/>
      <c r="C462" s="102"/>
      <c r="H462" s="34"/>
      <c r="I462" s="34"/>
      <c r="J462" s="34"/>
      <c r="K462" s="20"/>
      <c r="L462" s="21"/>
      <c r="M462" s="42"/>
      <c r="N462" s="42"/>
      <c r="O462" s="42"/>
      <c r="P462" s="23"/>
      <c r="Q462" s="24"/>
    </row>
    <row r="463">
      <c r="A463" s="102"/>
      <c r="B463" s="104"/>
      <c r="C463" s="102"/>
      <c r="H463" s="34"/>
      <c r="I463" s="34"/>
      <c r="J463" s="34"/>
      <c r="K463" s="20"/>
      <c r="L463" s="21"/>
      <c r="M463" s="42"/>
      <c r="N463" s="42"/>
      <c r="O463" s="42"/>
      <c r="P463" s="23"/>
      <c r="Q463" s="24"/>
    </row>
    <row r="464">
      <c r="A464" s="102"/>
      <c r="B464" s="103"/>
      <c r="C464" s="102"/>
      <c r="H464" s="34"/>
      <c r="I464" s="34"/>
      <c r="J464" s="34"/>
      <c r="K464" s="20"/>
      <c r="L464" s="21"/>
      <c r="M464" s="42"/>
      <c r="N464" s="42"/>
      <c r="O464" s="42"/>
      <c r="P464" s="23"/>
      <c r="Q464" s="24"/>
    </row>
    <row r="465">
      <c r="A465" s="102"/>
      <c r="B465" s="104"/>
      <c r="C465" s="102"/>
      <c r="H465" s="34"/>
      <c r="I465" s="34"/>
      <c r="J465" s="34"/>
      <c r="K465" s="20"/>
      <c r="L465" s="21"/>
      <c r="M465" s="42"/>
      <c r="N465" s="42"/>
      <c r="O465" s="42"/>
      <c r="P465" s="23"/>
      <c r="Q465" s="24"/>
    </row>
    <row r="466">
      <c r="A466" s="102"/>
      <c r="B466" s="103"/>
      <c r="C466" s="102"/>
      <c r="H466" s="34"/>
      <c r="I466" s="34"/>
      <c r="J466" s="34"/>
      <c r="K466" s="20"/>
      <c r="L466" s="21"/>
      <c r="M466" s="42"/>
      <c r="N466" s="42"/>
      <c r="O466" s="42"/>
      <c r="P466" s="23"/>
      <c r="Q466" s="24"/>
    </row>
    <row r="467">
      <c r="A467" s="102"/>
      <c r="B467" s="104"/>
      <c r="C467" s="102"/>
      <c r="H467" s="34"/>
      <c r="I467" s="34"/>
      <c r="J467" s="34"/>
      <c r="K467" s="20"/>
      <c r="L467" s="21"/>
      <c r="M467" s="42"/>
      <c r="N467" s="42"/>
      <c r="O467" s="42"/>
      <c r="P467" s="23"/>
      <c r="Q467" s="24"/>
    </row>
    <row r="468">
      <c r="A468" s="102"/>
      <c r="B468" s="103"/>
      <c r="C468" s="102"/>
      <c r="H468" s="34"/>
      <c r="I468" s="34"/>
      <c r="J468" s="34"/>
      <c r="K468" s="20"/>
      <c r="L468" s="21"/>
      <c r="M468" s="42"/>
      <c r="N468" s="42"/>
      <c r="O468" s="42"/>
      <c r="P468" s="23"/>
      <c r="Q468" s="24"/>
    </row>
    <row r="469">
      <c r="A469" s="102"/>
      <c r="B469" s="104"/>
      <c r="C469" s="102"/>
      <c r="H469" s="34"/>
      <c r="I469" s="34"/>
      <c r="J469" s="34"/>
      <c r="K469" s="20"/>
      <c r="L469" s="21"/>
      <c r="M469" s="42"/>
      <c r="N469" s="42"/>
      <c r="O469" s="42"/>
      <c r="P469" s="23"/>
      <c r="Q469" s="24"/>
    </row>
    <row r="470">
      <c r="A470" s="102"/>
      <c r="B470" s="103"/>
      <c r="C470" s="102"/>
      <c r="H470" s="34"/>
      <c r="I470" s="34"/>
      <c r="J470" s="34"/>
      <c r="K470" s="20"/>
      <c r="L470" s="21"/>
      <c r="M470" s="42"/>
      <c r="N470" s="42"/>
      <c r="O470" s="42"/>
      <c r="P470" s="23"/>
      <c r="Q470" s="24"/>
    </row>
    <row r="471">
      <c r="A471" s="102"/>
      <c r="B471" s="104"/>
      <c r="C471" s="102"/>
      <c r="H471" s="34"/>
      <c r="I471" s="34"/>
      <c r="J471" s="34"/>
      <c r="K471" s="20"/>
      <c r="L471" s="21"/>
      <c r="M471" s="42"/>
      <c r="N471" s="42"/>
      <c r="O471" s="42"/>
      <c r="P471" s="23"/>
      <c r="Q471" s="24"/>
    </row>
    <row r="472">
      <c r="A472" s="102"/>
      <c r="B472" s="103"/>
      <c r="C472" s="102"/>
      <c r="H472" s="34"/>
      <c r="I472" s="34"/>
      <c r="J472" s="34"/>
      <c r="K472" s="20"/>
      <c r="L472" s="21"/>
      <c r="M472" s="42"/>
      <c r="N472" s="42"/>
      <c r="O472" s="42"/>
      <c r="P472" s="23"/>
      <c r="Q472" s="24"/>
    </row>
    <row r="473">
      <c r="A473" s="102"/>
      <c r="B473" s="104"/>
      <c r="C473" s="102"/>
      <c r="H473" s="34"/>
      <c r="I473" s="34"/>
      <c r="J473" s="34"/>
      <c r="K473" s="20"/>
      <c r="L473" s="21"/>
      <c r="M473" s="42"/>
      <c r="N473" s="42"/>
      <c r="O473" s="42"/>
      <c r="P473" s="23"/>
      <c r="Q473" s="24"/>
    </row>
    <row r="474">
      <c r="A474" s="102"/>
      <c r="B474" s="103"/>
      <c r="C474" s="102"/>
      <c r="H474" s="34"/>
      <c r="I474" s="34"/>
      <c r="J474" s="34"/>
      <c r="K474" s="20"/>
      <c r="L474" s="21"/>
      <c r="M474" s="42"/>
      <c r="N474" s="42"/>
      <c r="O474" s="42"/>
      <c r="P474" s="23"/>
      <c r="Q474" s="24"/>
    </row>
    <row r="475">
      <c r="A475" s="102"/>
      <c r="B475" s="104"/>
      <c r="C475" s="102"/>
      <c r="H475" s="34"/>
      <c r="I475" s="34"/>
      <c r="J475" s="34"/>
      <c r="K475" s="20"/>
      <c r="L475" s="21"/>
      <c r="M475" s="42"/>
      <c r="N475" s="42"/>
      <c r="O475" s="42"/>
      <c r="P475" s="23"/>
      <c r="Q475" s="24"/>
    </row>
    <row r="476">
      <c r="A476" s="102"/>
      <c r="B476" s="103"/>
      <c r="C476" s="102"/>
      <c r="H476" s="34"/>
      <c r="I476" s="34"/>
      <c r="J476" s="34"/>
      <c r="K476" s="20"/>
      <c r="L476" s="21"/>
      <c r="M476" s="42"/>
      <c r="N476" s="42"/>
      <c r="O476" s="42"/>
      <c r="P476" s="23"/>
      <c r="Q476" s="24"/>
    </row>
    <row r="477">
      <c r="A477" s="102"/>
      <c r="B477" s="104"/>
      <c r="C477" s="102"/>
      <c r="H477" s="34"/>
      <c r="I477" s="34"/>
      <c r="J477" s="34"/>
      <c r="K477" s="20"/>
      <c r="L477" s="21"/>
      <c r="M477" s="42"/>
      <c r="N477" s="42"/>
      <c r="O477" s="42"/>
      <c r="P477" s="23"/>
      <c r="Q477" s="24"/>
    </row>
    <row r="478">
      <c r="A478" s="102"/>
      <c r="B478" s="103"/>
      <c r="C478" s="102"/>
      <c r="H478" s="34"/>
      <c r="I478" s="34"/>
      <c r="J478" s="34"/>
      <c r="K478" s="20"/>
      <c r="L478" s="21"/>
      <c r="M478" s="42"/>
      <c r="N478" s="42"/>
      <c r="O478" s="42"/>
      <c r="P478" s="23"/>
      <c r="Q478" s="24"/>
    </row>
    <row r="479">
      <c r="A479" s="102"/>
      <c r="B479" s="104"/>
      <c r="C479" s="102"/>
      <c r="H479" s="34"/>
      <c r="I479" s="34"/>
      <c r="J479" s="34"/>
      <c r="K479" s="20"/>
      <c r="L479" s="21"/>
      <c r="M479" s="42"/>
      <c r="N479" s="42"/>
      <c r="O479" s="42"/>
      <c r="P479" s="23"/>
      <c r="Q479" s="24"/>
    </row>
    <row r="480">
      <c r="A480" s="102"/>
      <c r="B480" s="103"/>
      <c r="C480" s="102"/>
      <c r="H480" s="34"/>
      <c r="I480" s="34"/>
      <c r="J480" s="34"/>
      <c r="K480" s="20"/>
      <c r="L480" s="21"/>
      <c r="M480" s="42"/>
      <c r="N480" s="42"/>
      <c r="O480" s="42"/>
      <c r="P480" s="23"/>
      <c r="Q480" s="24"/>
    </row>
    <row r="481">
      <c r="A481" s="102"/>
      <c r="B481" s="104"/>
      <c r="C481" s="102"/>
      <c r="H481" s="34"/>
      <c r="I481" s="34"/>
      <c r="J481" s="34"/>
      <c r="K481" s="20"/>
      <c r="L481" s="21"/>
      <c r="M481" s="42"/>
      <c r="N481" s="42"/>
      <c r="O481" s="42"/>
      <c r="P481" s="23"/>
      <c r="Q481" s="24"/>
    </row>
    <row r="482">
      <c r="A482" s="102"/>
      <c r="B482" s="103"/>
      <c r="C482" s="102"/>
      <c r="H482" s="34"/>
      <c r="I482" s="34"/>
      <c r="J482" s="34"/>
      <c r="K482" s="20"/>
      <c r="L482" s="21"/>
      <c r="M482" s="42"/>
      <c r="N482" s="42"/>
      <c r="O482" s="42"/>
      <c r="P482" s="23"/>
      <c r="Q482" s="24"/>
    </row>
    <row r="483">
      <c r="A483" s="102"/>
      <c r="B483" s="104"/>
      <c r="C483" s="102"/>
      <c r="H483" s="34"/>
      <c r="I483" s="34"/>
      <c r="J483" s="34"/>
      <c r="K483" s="20"/>
      <c r="L483" s="21"/>
      <c r="M483" s="42"/>
      <c r="N483" s="42"/>
      <c r="O483" s="42"/>
      <c r="P483" s="23"/>
      <c r="Q483" s="24"/>
    </row>
    <row r="484">
      <c r="A484" s="102"/>
      <c r="B484" s="103"/>
      <c r="C484" s="102"/>
      <c r="H484" s="34"/>
      <c r="I484" s="34"/>
      <c r="J484" s="34"/>
      <c r="K484" s="20"/>
      <c r="L484" s="21"/>
      <c r="M484" s="42"/>
      <c r="N484" s="42"/>
      <c r="O484" s="42"/>
      <c r="P484" s="23"/>
      <c r="Q484" s="24"/>
    </row>
    <row r="485">
      <c r="A485" s="102"/>
      <c r="B485" s="104"/>
      <c r="C485" s="102"/>
      <c r="H485" s="34"/>
      <c r="I485" s="34"/>
      <c r="J485" s="34"/>
      <c r="K485" s="20"/>
      <c r="L485" s="21"/>
      <c r="M485" s="42"/>
      <c r="N485" s="42"/>
      <c r="O485" s="42"/>
      <c r="P485" s="23"/>
      <c r="Q485" s="24"/>
    </row>
    <row r="486">
      <c r="A486" s="102"/>
      <c r="B486" s="103"/>
      <c r="C486" s="102"/>
      <c r="H486" s="34"/>
      <c r="I486" s="34"/>
      <c r="J486" s="34"/>
      <c r="K486" s="20"/>
      <c r="L486" s="21"/>
      <c r="M486" s="42"/>
      <c r="N486" s="42"/>
      <c r="O486" s="42"/>
      <c r="P486" s="23"/>
      <c r="Q486" s="24"/>
    </row>
    <row r="487">
      <c r="A487" s="102"/>
      <c r="B487" s="104"/>
      <c r="C487" s="102"/>
      <c r="H487" s="34"/>
      <c r="I487" s="34"/>
      <c r="J487" s="34"/>
      <c r="K487" s="20"/>
      <c r="L487" s="21"/>
      <c r="M487" s="42"/>
      <c r="N487" s="42"/>
      <c r="O487" s="42"/>
      <c r="P487" s="23"/>
      <c r="Q487" s="24"/>
    </row>
    <row r="488">
      <c r="A488" s="102"/>
      <c r="B488" s="103"/>
      <c r="C488" s="102"/>
      <c r="H488" s="34"/>
      <c r="I488" s="34"/>
      <c r="J488" s="34"/>
      <c r="K488" s="20"/>
      <c r="L488" s="21"/>
      <c r="M488" s="42"/>
      <c r="N488" s="42"/>
      <c r="O488" s="42"/>
      <c r="P488" s="23"/>
      <c r="Q488" s="24"/>
    </row>
    <row r="489">
      <c r="A489" s="102"/>
      <c r="B489" s="104"/>
      <c r="C489" s="102"/>
      <c r="H489" s="34"/>
      <c r="I489" s="34"/>
      <c r="J489" s="34"/>
      <c r="K489" s="20"/>
      <c r="L489" s="21"/>
      <c r="M489" s="42"/>
      <c r="N489" s="42"/>
      <c r="O489" s="42"/>
      <c r="P489" s="23"/>
      <c r="Q489" s="24"/>
    </row>
    <row r="490">
      <c r="A490" s="102"/>
      <c r="B490" s="103"/>
      <c r="C490" s="102"/>
      <c r="H490" s="34"/>
      <c r="I490" s="34"/>
      <c r="J490" s="34"/>
      <c r="K490" s="20"/>
      <c r="L490" s="21"/>
      <c r="M490" s="42"/>
      <c r="N490" s="42"/>
      <c r="O490" s="42"/>
      <c r="P490" s="23"/>
      <c r="Q490" s="24"/>
    </row>
    <row r="491">
      <c r="A491" s="102"/>
      <c r="B491" s="104"/>
      <c r="C491" s="102"/>
      <c r="H491" s="34"/>
      <c r="I491" s="34"/>
      <c r="J491" s="34"/>
      <c r="K491" s="20"/>
      <c r="L491" s="21"/>
      <c r="M491" s="42"/>
      <c r="N491" s="42"/>
      <c r="O491" s="42"/>
      <c r="P491" s="23"/>
      <c r="Q491" s="24"/>
    </row>
    <row r="492">
      <c r="A492" s="102"/>
      <c r="B492" s="103"/>
      <c r="C492" s="102"/>
      <c r="H492" s="34"/>
      <c r="I492" s="34"/>
      <c r="J492" s="34"/>
      <c r="K492" s="20"/>
      <c r="L492" s="21"/>
      <c r="M492" s="42"/>
      <c r="N492" s="42"/>
      <c r="O492" s="42"/>
      <c r="P492" s="23"/>
      <c r="Q492" s="24"/>
    </row>
    <row r="493">
      <c r="A493" s="102"/>
      <c r="B493" s="104"/>
      <c r="C493" s="102"/>
      <c r="H493" s="34"/>
      <c r="I493" s="34"/>
      <c r="J493" s="34"/>
      <c r="K493" s="20"/>
      <c r="L493" s="21"/>
      <c r="M493" s="42"/>
      <c r="N493" s="42"/>
      <c r="O493" s="42"/>
      <c r="P493" s="23"/>
      <c r="Q493" s="24"/>
    </row>
    <row r="494">
      <c r="A494" s="102"/>
      <c r="B494" s="103"/>
      <c r="C494" s="102"/>
      <c r="H494" s="34"/>
      <c r="I494" s="34"/>
      <c r="J494" s="34"/>
      <c r="K494" s="20"/>
      <c r="L494" s="21"/>
      <c r="M494" s="42"/>
      <c r="N494" s="42"/>
      <c r="O494" s="42"/>
      <c r="P494" s="23"/>
      <c r="Q494" s="24"/>
    </row>
    <row r="495">
      <c r="A495" s="102"/>
      <c r="B495" s="104"/>
      <c r="C495" s="102"/>
      <c r="H495" s="34"/>
      <c r="I495" s="34"/>
      <c r="J495" s="34"/>
      <c r="K495" s="20"/>
      <c r="L495" s="21"/>
      <c r="M495" s="42"/>
      <c r="N495" s="42"/>
      <c r="O495" s="42"/>
      <c r="P495" s="23"/>
      <c r="Q495" s="24"/>
    </row>
    <row r="496">
      <c r="A496" s="102"/>
      <c r="B496" s="103"/>
      <c r="C496" s="102"/>
      <c r="H496" s="34"/>
      <c r="I496" s="34"/>
      <c r="J496" s="34"/>
      <c r="K496" s="20"/>
      <c r="L496" s="21"/>
      <c r="M496" s="42"/>
      <c r="N496" s="42"/>
      <c r="O496" s="42"/>
      <c r="P496" s="23"/>
      <c r="Q496" s="24"/>
    </row>
    <row r="497">
      <c r="A497" s="102"/>
      <c r="B497" s="104"/>
      <c r="C497" s="102"/>
      <c r="H497" s="34"/>
      <c r="I497" s="34"/>
      <c r="J497" s="34"/>
      <c r="K497" s="20"/>
      <c r="L497" s="21"/>
      <c r="M497" s="42"/>
      <c r="N497" s="42"/>
      <c r="O497" s="42"/>
      <c r="P497" s="23"/>
      <c r="Q497" s="24"/>
    </row>
    <row r="498">
      <c r="A498" s="102"/>
      <c r="B498" s="103"/>
      <c r="C498" s="102"/>
      <c r="H498" s="34"/>
      <c r="I498" s="34"/>
      <c r="J498" s="34"/>
      <c r="K498" s="20"/>
      <c r="L498" s="21"/>
      <c r="M498" s="42"/>
      <c r="N498" s="42"/>
      <c r="O498" s="42"/>
      <c r="P498" s="23"/>
      <c r="Q498" s="24"/>
    </row>
    <row r="499">
      <c r="A499" s="102"/>
      <c r="B499" s="104"/>
      <c r="C499" s="102"/>
      <c r="H499" s="34"/>
      <c r="I499" s="34"/>
      <c r="J499" s="34"/>
      <c r="K499" s="20"/>
      <c r="L499" s="21"/>
      <c r="M499" s="42"/>
      <c r="N499" s="42"/>
      <c r="O499" s="42"/>
      <c r="P499" s="23"/>
      <c r="Q499" s="24"/>
    </row>
    <row r="500">
      <c r="A500" s="102"/>
      <c r="B500" s="103"/>
      <c r="C500" s="102"/>
      <c r="H500" s="34"/>
      <c r="I500" s="34"/>
      <c r="J500" s="34"/>
      <c r="K500" s="20"/>
      <c r="L500" s="21"/>
      <c r="M500" s="42"/>
      <c r="N500" s="42"/>
      <c r="O500" s="42"/>
      <c r="P500" s="23"/>
      <c r="Q500" s="24"/>
    </row>
    <row r="501">
      <c r="A501" s="102"/>
      <c r="B501" s="104"/>
      <c r="C501" s="102"/>
      <c r="H501" s="34"/>
      <c r="I501" s="34"/>
      <c r="J501" s="34"/>
      <c r="K501" s="20"/>
      <c r="L501" s="21"/>
      <c r="M501" s="42"/>
      <c r="N501" s="42"/>
      <c r="O501" s="42"/>
      <c r="P501" s="23"/>
      <c r="Q501" s="24"/>
    </row>
    <row r="502">
      <c r="A502" s="102"/>
      <c r="B502" s="103"/>
      <c r="C502" s="102"/>
      <c r="H502" s="34"/>
      <c r="I502" s="34"/>
      <c r="J502" s="34"/>
      <c r="K502" s="20"/>
      <c r="L502" s="21"/>
      <c r="M502" s="42"/>
      <c r="N502" s="42"/>
      <c r="O502" s="42"/>
      <c r="P502" s="23"/>
      <c r="Q502" s="24"/>
    </row>
    <row r="503">
      <c r="A503" s="102"/>
      <c r="B503" s="104"/>
      <c r="C503" s="102"/>
      <c r="H503" s="34"/>
      <c r="I503" s="34"/>
      <c r="J503" s="34"/>
      <c r="K503" s="20"/>
      <c r="L503" s="21"/>
      <c r="M503" s="42"/>
      <c r="N503" s="42"/>
      <c r="O503" s="42"/>
      <c r="P503" s="23"/>
      <c r="Q503" s="24"/>
    </row>
    <row r="504">
      <c r="A504" s="102"/>
      <c r="B504" s="103"/>
      <c r="C504" s="102"/>
      <c r="H504" s="34"/>
      <c r="I504" s="34"/>
      <c r="J504" s="34"/>
      <c r="K504" s="20"/>
      <c r="L504" s="21"/>
      <c r="M504" s="42"/>
      <c r="N504" s="42"/>
      <c r="O504" s="42"/>
      <c r="P504" s="23"/>
      <c r="Q504" s="24"/>
    </row>
    <row r="505">
      <c r="A505" s="102"/>
      <c r="B505" s="104"/>
      <c r="C505" s="102"/>
      <c r="H505" s="34"/>
      <c r="I505" s="34"/>
      <c r="J505" s="34"/>
      <c r="K505" s="20"/>
      <c r="L505" s="21"/>
      <c r="M505" s="42"/>
      <c r="N505" s="42"/>
      <c r="O505" s="42"/>
      <c r="P505" s="23"/>
      <c r="Q505" s="24"/>
    </row>
    <row r="506">
      <c r="A506" s="102"/>
      <c r="B506" s="103"/>
      <c r="C506" s="102"/>
      <c r="H506" s="34"/>
      <c r="I506" s="34"/>
      <c r="J506" s="34"/>
      <c r="K506" s="20"/>
      <c r="L506" s="21"/>
      <c r="M506" s="42"/>
      <c r="N506" s="42"/>
      <c r="O506" s="42"/>
      <c r="P506" s="23"/>
      <c r="Q506" s="24"/>
    </row>
    <row r="507">
      <c r="A507" s="102"/>
      <c r="B507" s="104"/>
      <c r="C507" s="102"/>
      <c r="H507" s="34"/>
      <c r="I507" s="34"/>
      <c r="J507" s="34"/>
      <c r="K507" s="20"/>
      <c r="L507" s="21"/>
      <c r="M507" s="42"/>
      <c r="N507" s="42"/>
      <c r="O507" s="42"/>
      <c r="P507" s="23"/>
      <c r="Q507" s="24"/>
    </row>
    <row r="508">
      <c r="A508" s="102"/>
      <c r="B508" s="103"/>
      <c r="C508" s="102"/>
      <c r="H508" s="34"/>
      <c r="I508" s="34"/>
      <c r="J508" s="34"/>
      <c r="K508" s="20"/>
      <c r="L508" s="21"/>
      <c r="M508" s="42"/>
      <c r="N508" s="42"/>
      <c r="O508" s="42"/>
      <c r="P508" s="23"/>
      <c r="Q508" s="24"/>
    </row>
    <row r="509">
      <c r="A509" s="102"/>
      <c r="B509" s="104"/>
      <c r="C509" s="102"/>
      <c r="H509" s="34"/>
      <c r="I509" s="34"/>
      <c r="J509" s="34"/>
      <c r="K509" s="20"/>
      <c r="L509" s="21"/>
      <c r="M509" s="42"/>
      <c r="N509" s="42"/>
      <c r="O509" s="42"/>
      <c r="P509" s="23"/>
      <c r="Q509" s="24"/>
    </row>
    <row r="510">
      <c r="A510" s="102"/>
      <c r="B510" s="103"/>
      <c r="C510" s="102"/>
      <c r="H510" s="34"/>
      <c r="I510" s="34"/>
      <c r="J510" s="34"/>
      <c r="K510" s="20"/>
      <c r="L510" s="21"/>
      <c r="M510" s="42"/>
      <c r="N510" s="42"/>
      <c r="O510" s="42"/>
      <c r="P510" s="23"/>
      <c r="Q510" s="24"/>
    </row>
    <row r="511">
      <c r="A511" s="102"/>
      <c r="B511" s="104"/>
      <c r="C511" s="102"/>
      <c r="H511" s="34"/>
      <c r="I511" s="34"/>
      <c r="J511" s="34"/>
      <c r="K511" s="20"/>
      <c r="L511" s="21"/>
      <c r="M511" s="42"/>
      <c r="N511" s="42"/>
      <c r="O511" s="42"/>
      <c r="P511" s="23"/>
      <c r="Q511" s="24"/>
    </row>
    <row r="512">
      <c r="A512" s="102"/>
      <c r="B512" s="103"/>
      <c r="C512" s="102"/>
      <c r="H512" s="34"/>
      <c r="I512" s="34"/>
      <c r="J512" s="34"/>
      <c r="K512" s="20"/>
      <c r="L512" s="21"/>
      <c r="M512" s="42"/>
      <c r="N512" s="42"/>
      <c r="O512" s="42"/>
      <c r="P512" s="23"/>
      <c r="Q512" s="24"/>
    </row>
    <row r="513">
      <c r="A513" s="102"/>
      <c r="B513" s="104"/>
      <c r="C513" s="102"/>
      <c r="H513" s="34"/>
      <c r="I513" s="34"/>
      <c r="J513" s="34"/>
      <c r="K513" s="20"/>
      <c r="L513" s="21"/>
      <c r="M513" s="42"/>
      <c r="N513" s="42"/>
      <c r="O513" s="42"/>
      <c r="P513" s="23"/>
      <c r="Q513" s="24"/>
    </row>
    <row r="514">
      <c r="A514" s="102"/>
      <c r="B514" s="103"/>
      <c r="C514" s="102"/>
      <c r="H514" s="34"/>
      <c r="I514" s="34"/>
      <c r="J514" s="34"/>
      <c r="K514" s="20"/>
      <c r="L514" s="21"/>
      <c r="M514" s="42"/>
      <c r="N514" s="42"/>
      <c r="O514" s="42"/>
      <c r="P514" s="23"/>
      <c r="Q514" s="24"/>
    </row>
    <row r="515">
      <c r="A515" s="102"/>
      <c r="B515" s="104"/>
      <c r="C515" s="102"/>
      <c r="H515" s="34"/>
      <c r="I515" s="34"/>
      <c r="J515" s="34"/>
      <c r="K515" s="20"/>
      <c r="L515" s="21"/>
      <c r="M515" s="42"/>
      <c r="N515" s="42"/>
      <c r="O515" s="42"/>
      <c r="P515" s="23"/>
      <c r="Q515" s="24"/>
    </row>
    <row r="516">
      <c r="A516" s="102"/>
      <c r="B516" s="103"/>
      <c r="C516" s="102"/>
      <c r="H516" s="34"/>
      <c r="I516" s="34"/>
      <c r="J516" s="34"/>
      <c r="K516" s="20"/>
      <c r="L516" s="21"/>
      <c r="M516" s="42"/>
      <c r="N516" s="42"/>
      <c r="O516" s="42"/>
      <c r="P516" s="23"/>
      <c r="Q516" s="24"/>
    </row>
    <row r="517">
      <c r="A517" s="102"/>
      <c r="B517" s="104"/>
      <c r="C517" s="102"/>
      <c r="H517" s="34"/>
      <c r="I517" s="34"/>
      <c r="J517" s="34"/>
      <c r="K517" s="20"/>
      <c r="L517" s="21"/>
      <c r="M517" s="42"/>
      <c r="N517" s="42"/>
      <c r="O517" s="42"/>
      <c r="P517" s="23"/>
      <c r="Q517" s="24"/>
    </row>
    <row r="518">
      <c r="A518" s="102"/>
      <c r="B518" s="103"/>
      <c r="C518" s="102"/>
      <c r="H518" s="34"/>
      <c r="I518" s="34"/>
      <c r="J518" s="34"/>
      <c r="K518" s="20"/>
      <c r="L518" s="21"/>
      <c r="M518" s="42"/>
      <c r="N518" s="42"/>
      <c r="O518" s="42"/>
      <c r="P518" s="23"/>
      <c r="Q518" s="24"/>
    </row>
    <row r="519">
      <c r="A519" s="102"/>
      <c r="B519" s="104"/>
      <c r="C519" s="102"/>
      <c r="H519" s="34"/>
      <c r="I519" s="34"/>
      <c r="J519" s="34"/>
      <c r="K519" s="20"/>
      <c r="L519" s="21"/>
      <c r="M519" s="42"/>
      <c r="N519" s="42"/>
      <c r="O519" s="42"/>
      <c r="P519" s="23"/>
      <c r="Q519" s="24"/>
    </row>
    <row r="520">
      <c r="A520" s="102"/>
      <c r="B520" s="103"/>
      <c r="C520" s="102"/>
      <c r="H520" s="34"/>
      <c r="I520" s="34"/>
      <c r="J520" s="34"/>
      <c r="K520" s="20"/>
      <c r="L520" s="21"/>
      <c r="M520" s="42"/>
      <c r="N520" s="42"/>
      <c r="O520" s="42"/>
      <c r="P520" s="23"/>
      <c r="Q520" s="24"/>
    </row>
    <row r="521">
      <c r="A521" s="102"/>
      <c r="B521" s="104"/>
      <c r="C521" s="102"/>
      <c r="H521" s="34"/>
      <c r="I521" s="34"/>
      <c r="J521" s="34"/>
      <c r="K521" s="20"/>
      <c r="L521" s="21"/>
      <c r="M521" s="42"/>
      <c r="N521" s="42"/>
      <c r="O521" s="42"/>
      <c r="P521" s="23"/>
      <c r="Q521" s="24"/>
    </row>
    <row r="522">
      <c r="A522" s="102"/>
      <c r="B522" s="103"/>
      <c r="C522" s="102"/>
      <c r="H522" s="34"/>
      <c r="I522" s="34"/>
      <c r="J522" s="34"/>
      <c r="K522" s="20"/>
      <c r="L522" s="21"/>
      <c r="M522" s="42"/>
      <c r="N522" s="42"/>
      <c r="O522" s="42"/>
      <c r="P522" s="23"/>
      <c r="Q522" s="24"/>
    </row>
    <row r="523">
      <c r="A523" s="102"/>
      <c r="B523" s="104"/>
      <c r="C523" s="102"/>
      <c r="H523" s="34"/>
      <c r="I523" s="34"/>
      <c r="J523" s="34"/>
      <c r="K523" s="20"/>
      <c r="L523" s="21"/>
      <c r="M523" s="42"/>
      <c r="N523" s="42"/>
      <c r="O523" s="42"/>
      <c r="P523" s="23"/>
      <c r="Q523" s="24"/>
    </row>
    <row r="524">
      <c r="A524" s="102"/>
      <c r="B524" s="103"/>
      <c r="C524" s="102"/>
      <c r="H524" s="34"/>
      <c r="I524" s="34"/>
      <c r="J524" s="34"/>
      <c r="K524" s="20"/>
      <c r="L524" s="21"/>
      <c r="M524" s="42"/>
      <c r="N524" s="42"/>
      <c r="O524" s="42"/>
      <c r="P524" s="23"/>
      <c r="Q524" s="24"/>
    </row>
    <row r="525">
      <c r="A525" s="102"/>
      <c r="B525" s="104"/>
      <c r="C525" s="102"/>
      <c r="H525" s="34"/>
      <c r="I525" s="34"/>
      <c r="J525" s="34"/>
      <c r="K525" s="20"/>
      <c r="L525" s="21"/>
      <c r="M525" s="42"/>
      <c r="N525" s="42"/>
      <c r="O525" s="42"/>
      <c r="P525" s="23"/>
      <c r="Q525" s="24"/>
    </row>
    <row r="526">
      <c r="A526" s="102"/>
      <c r="B526" s="103"/>
      <c r="C526" s="102"/>
      <c r="H526" s="34"/>
      <c r="I526" s="34"/>
      <c r="J526" s="34"/>
      <c r="K526" s="20"/>
      <c r="L526" s="21"/>
      <c r="M526" s="42"/>
      <c r="N526" s="42"/>
      <c r="O526" s="42"/>
      <c r="P526" s="23"/>
      <c r="Q526" s="24"/>
    </row>
    <row r="527">
      <c r="A527" s="102"/>
      <c r="B527" s="104"/>
      <c r="C527" s="102"/>
      <c r="H527" s="34"/>
      <c r="I527" s="34"/>
      <c r="J527" s="34"/>
      <c r="K527" s="20"/>
      <c r="L527" s="21"/>
      <c r="M527" s="42"/>
      <c r="N527" s="42"/>
      <c r="O527" s="42"/>
      <c r="P527" s="23"/>
      <c r="Q527" s="24"/>
    </row>
    <row r="528">
      <c r="A528" s="102"/>
      <c r="B528" s="103"/>
      <c r="C528" s="102"/>
      <c r="H528" s="34"/>
      <c r="I528" s="34"/>
      <c r="J528" s="34"/>
      <c r="K528" s="20"/>
      <c r="L528" s="21"/>
      <c r="M528" s="42"/>
      <c r="N528" s="42"/>
      <c r="O528" s="42"/>
      <c r="P528" s="23"/>
      <c r="Q528" s="24"/>
    </row>
    <row r="529">
      <c r="A529" s="102"/>
      <c r="B529" s="104"/>
      <c r="C529" s="102"/>
      <c r="H529" s="34"/>
      <c r="I529" s="34"/>
      <c r="J529" s="34"/>
      <c r="K529" s="20"/>
      <c r="L529" s="21"/>
      <c r="M529" s="42"/>
      <c r="N529" s="42"/>
      <c r="O529" s="42"/>
      <c r="P529" s="23"/>
      <c r="Q529" s="24"/>
    </row>
    <row r="530">
      <c r="A530" s="102"/>
      <c r="B530" s="103"/>
      <c r="C530" s="102"/>
      <c r="H530" s="34"/>
      <c r="I530" s="34"/>
      <c r="J530" s="34"/>
      <c r="K530" s="20"/>
      <c r="L530" s="21"/>
      <c r="M530" s="42"/>
      <c r="N530" s="42"/>
      <c r="O530" s="42"/>
      <c r="P530" s="23"/>
      <c r="Q530" s="24"/>
    </row>
    <row r="531">
      <c r="A531" s="102"/>
      <c r="B531" s="104"/>
      <c r="C531" s="102"/>
      <c r="H531" s="34"/>
      <c r="I531" s="34"/>
      <c r="J531" s="34"/>
      <c r="K531" s="20"/>
      <c r="L531" s="21"/>
      <c r="M531" s="42"/>
      <c r="N531" s="42"/>
      <c r="O531" s="42"/>
      <c r="P531" s="23"/>
      <c r="Q531" s="24"/>
    </row>
    <row r="532">
      <c r="A532" s="102"/>
      <c r="B532" s="103"/>
      <c r="C532" s="102"/>
      <c r="H532" s="34"/>
      <c r="I532" s="34"/>
      <c r="J532" s="34"/>
      <c r="K532" s="20"/>
      <c r="L532" s="21"/>
      <c r="M532" s="42"/>
      <c r="N532" s="42"/>
      <c r="O532" s="42"/>
      <c r="P532" s="23"/>
      <c r="Q532" s="24"/>
    </row>
    <row r="533">
      <c r="A533" s="102"/>
      <c r="B533" s="104"/>
      <c r="C533" s="102"/>
      <c r="H533" s="34"/>
      <c r="I533" s="34"/>
      <c r="J533" s="34"/>
      <c r="K533" s="20"/>
      <c r="L533" s="21"/>
      <c r="M533" s="42"/>
      <c r="N533" s="42"/>
      <c r="O533" s="42"/>
      <c r="P533" s="23"/>
      <c r="Q533" s="24"/>
    </row>
    <row r="534">
      <c r="A534" s="102"/>
      <c r="B534" s="103"/>
      <c r="C534" s="102"/>
      <c r="H534" s="34"/>
      <c r="I534" s="34"/>
      <c r="J534" s="34"/>
      <c r="K534" s="20"/>
      <c r="L534" s="21"/>
      <c r="M534" s="42"/>
      <c r="N534" s="42"/>
      <c r="O534" s="42"/>
      <c r="P534" s="23"/>
      <c r="Q534" s="24"/>
    </row>
    <row r="535">
      <c r="A535" s="102"/>
      <c r="B535" s="104"/>
      <c r="C535" s="102"/>
      <c r="H535" s="34"/>
      <c r="I535" s="34"/>
      <c r="J535" s="34"/>
      <c r="K535" s="20"/>
      <c r="L535" s="21"/>
      <c r="M535" s="42"/>
      <c r="N535" s="42"/>
      <c r="O535" s="42"/>
      <c r="P535" s="23"/>
      <c r="Q535" s="24"/>
    </row>
    <row r="536">
      <c r="A536" s="102"/>
      <c r="B536" s="103"/>
      <c r="C536" s="102"/>
      <c r="H536" s="34"/>
      <c r="I536" s="34"/>
      <c r="J536" s="34"/>
      <c r="K536" s="20"/>
      <c r="L536" s="21"/>
      <c r="M536" s="42"/>
      <c r="N536" s="42"/>
      <c r="O536" s="42"/>
      <c r="P536" s="23"/>
      <c r="Q536" s="24"/>
    </row>
    <row r="537">
      <c r="A537" s="102"/>
      <c r="B537" s="104"/>
      <c r="C537" s="102"/>
      <c r="H537" s="34"/>
      <c r="I537" s="34"/>
      <c r="J537" s="34"/>
      <c r="K537" s="20"/>
      <c r="L537" s="21"/>
      <c r="M537" s="42"/>
      <c r="N537" s="42"/>
      <c r="O537" s="42"/>
      <c r="P537" s="23"/>
      <c r="Q537" s="24"/>
    </row>
    <row r="538">
      <c r="A538" s="102"/>
      <c r="B538" s="103"/>
      <c r="C538" s="102"/>
      <c r="H538" s="34"/>
      <c r="I538" s="34"/>
      <c r="J538" s="34"/>
      <c r="K538" s="20"/>
      <c r="L538" s="21"/>
      <c r="M538" s="42"/>
      <c r="N538" s="42"/>
      <c r="O538" s="42"/>
      <c r="P538" s="23"/>
      <c r="Q538" s="24"/>
    </row>
    <row r="539">
      <c r="A539" s="102"/>
      <c r="B539" s="104"/>
      <c r="C539" s="102"/>
      <c r="H539" s="34"/>
      <c r="I539" s="34"/>
      <c r="J539" s="34"/>
      <c r="K539" s="20"/>
      <c r="L539" s="21"/>
      <c r="M539" s="42"/>
      <c r="N539" s="42"/>
      <c r="O539" s="42"/>
      <c r="P539" s="23"/>
      <c r="Q539" s="24"/>
    </row>
    <row r="540">
      <c r="A540" s="102"/>
      <c r="B540" s="103"/>
      <c r="C540" s="102"/>
      <c r="H540" s="34"/>
      <c r="I540" s="34"/>
      <c r="J540" s="34"/>
      <c r="K540" s="20"/>
      <c r="L540" s="21"/>
      <c r="M540" s="42"/>
      <c r="N540" s="42"/>
      <c r="O540" s="42"/>
      <c r="P540" s="23"/>
      <c r="Q540" s="24"/>
    </row>
    <row r="541">
      <c r="A541" s="102"/>
      <c r="B541" s="104"/>
      <c r="C541" s="102"/>
      <c r="H541" s="34"/>
      <c r="I541" s="34"/>
      <c r="J541" s="34"/>
      <c r="K541" s="20"/>
      <c r="L541" s="21"/>
      <c r="M541" s="42"/>
      <c r="N541" s="42"/>
      <c r="O541" s="42"/>
      <c r="P541" s="23"/>
      <c r="Q541" s="24"/>
    </row>
    <row r="542">
      <c r="A542" s="102"/>
      <c r="B542" s="103"/>
      <c r="C542" s="102"/>
      <c r="H542" s="34"/>
      <c r="I542" s="34"/>
      <c r="J542" s="34"/>
      <c r="K542" s="20"/>
      <c r="L542" s="21"/>
      <c r="M542" s="42"/>
      <c r="N542" s="42"/>
      <c r="O542" s="42"/>
      <c r="P542" s="23"/>
      <c r="Q542" s="24"/>
    </row>
    <row r="543">
      <c r="A543" s="102"/>
      <c r="B543" s="104"/>
      <c r="C543" s="102"/>
      <c r="H543" s="34"/>
      <c r="I543" s="34"/>
      <c r="J543" s="34"/>
      <c r="K543" s="20"/>
      <c r="L543" s="21"/>
      <c r="M543" s="42"/>
      <c r="N543" s="42"/>
      <c r="O543" s="42"/>
      <c r="P543" s="23"/>
      <c r="Q543" s="24"/>
    </row>
    <row r="544">
      <c r="A544" s="102"/>
      <c r="B544" s="103"/>
      <c r="C544" s="102"/>
      <c r="H544" s="34"/>
      <c r="I544" s="34"/>
      <c r="J544" s="34"/>
      <c r="K544" s="20"/>
      <c r="L544" s="21"/>
      <c r="M544" s="42"/>
      <c r="N544" s="42"/>
      <c r="O544" s="42"/>
      <c r="P544" s="23"/>
      <c r="Q544" s="24"/>
    </row>
    <row r="545">
      <c r="A545" s="102"/>
      <c r="B545" s="104"/>
      <c r="C545" s="102"/>
      <c r="H545" s="34"/>
      <c r="I545" s="34"/>
      <c r="J545" s="34"/>
      <c r="K545" s="20"/>
      <c r="L545" s="21"/>
      <c r="M545" s="42"/>
      <c r="N545" s="42"/>
      <c r="O545" s="42"/>
      <c r="P545" s="23"/>
      <c r="Q545" s="24"/>
    </row>
    <row r="546">
      <c r="A546" s="102"/>
      <c r="B546" s="103"/>
      <c r="C546" s="102"/>
      <c r="H546" s="34"/>
      <c r="I546" s="34"/>
      <c r="J546" s="34"/>
      <c r="K546" s="20"/>
      <c r="L546" s="21"/>
      <c r="M546" s="42"/>
      <c r="N546" s="42"/>
      <c r="O546" s="42"/>
      <c r="P546" s="23"/>
      <c r="Q546" s="24"/>
    </row>
    <row r="547">
      <c r="A547" s="102"/>
      <c r="B547" s="104"/>
      <c r="C547" s="102"/>
      <c r="H547" s="34"/>
      <c r="I547" s="34"/>
      <c r="J547" s="34"/>
      <c r="K547" s="20"/>
      <c r="L547" s="21"/>
      <c r="M547" s="42"/>
      <c r="N547" s="42"/>
      <c r="O547" s="42"/>
      <c r="P547" s="23"/>
      <c r="Q547" s="24"/>
    </row>
    <row r="548">
      <c r="A548" s="102"/>
      <c r="B548" s="103"/>
      <c r="C548" s="102"/>
      <c r="H548" s="34"/>
      <c r="I548" s="34"/>
      <c r="J548" s="34"/>
      <c r="K548" s="20"/>
      <c r="L548" s="21"/>
      <c r="M548" s="42"/>
      <c r="N548" s="42"/>
      <c r="O548" s="42"/>
      <c r="P548" s="23"/>
      <c r="Q548" s="24"/>
    </row>
    <row r="549">
      <c r="A549" s="102"/>
      <c r="B549" s="104"/>
      <c r="C549" s="102"/>
      <c r="H549" s="34"/>
      <c r="I549" s="34"/>
      <c r="J549" s="34"/>
      <c r="K549" s="20"/>
      <c r="L549" s="21"/>
      <c r="M549" s="42"/>
      <c r="N549" s="42"/>
      <c r="O549" s="42"/>
      <c r="P549" s="23"/>
      <c r="Q549" s="24"/>
    </row>
    <row r="550">
      <c r="A550" s="102"/>
      <c r="B550" s="103"/>
      <c r="C550" s="102"/>
      <c r="H550" s="34"/>
      <c r="I550" s="34"/>
      <c r="J550" s="34"/>
      <c r="K550" s="20"/>
      <c r="L550" s="21"/>
      <c r="M550" s="42"/>
      <c r="N550" s="42"/>
      <c r="O550" s="42"/>
      <c r="P550" s="23"/>
      <c r="Q550" s="24"/>
    </row>
    <row r="551">
      <c r="A551" s="102"/>
      <c r="B551" s="104"/>
      <c r="C551" s="102"/>
      <c r="H551" s="34"/>
      <c r="I551" s="34"/>
      <c r="J551" s="34"/>
      <c r="K551" s="20"/>
      <c r="L551" s="21"/>
      <c r="M551" s="42"/>
      <c r="N551" s="42"/>
      <c r="O551" s="42"/>
      <c r="P551" s="23"/>
      <c r="Q551" s="24"/>
    </row>
    <row r="552">
      <c r="A552" s="102"/>
      <c r="B552" s="103"/>
      <c r="C552" s="102"/>
      <c r="H552" s="34"/>
      <c r="I552" s="34"/>
      <c r="J552" s="34"/>
      <c r="K552" s="20"/>
      <c r="L552" s="21"/>
      <c r="M552" s="42"/>
      <c r="N552" s="42"/>
      <c r="O552" s="42"/>
      <c r="P552" s="23"/>
      <c r="Q552" s="24"/>
    </row>
    <row r="553">
      <c r="A553" s="102"/>
      <c r="B553" s="104"/>
      <c r="C553" s="102"/>
      <c r="H553" s="34"/>
      <c r="I553" s="34"/>
      <c r="J553" s="34"/>
      <c r="K553" s="20"/>
      <c r="L553" s="21"/>
      <c r="M553" s="42"/>
      <c r="N553" s="42"/>
      <c r="O553" s="42"/>
      <c r="P553" s="23"/>
      <c r="Q553" s="24"/>
    </row>
    <row r="554">
      <c r="A554" s="102"/>
      <c r="C554" s="102"/>
      <c r="H554" s="34"/>
      <c r="I554" s="34"/>
      <c r="J554" s="34"/>
      <c r="K554" s="20"/>
      <c r="L554" s="21"/>
      <c r="M554" s="42"/>
      <c r="N554" s="42"/>
      <c r="O554" s="42"/>
      <c r="P554" s="23"/>
      <c r="Q554" s="24"/>
    </row>
    <row r="555">
      <c r="A555" s="105"/>
      <c r="C555" s="105"/>
      <c r="K555" s="106"/>
      <c r="P555" s="106"/>
    </row>
    <row r="556">
      <c r="A556" s="105"/>
      <c r="C556" s="102"/>
      <c r="O556" s="106"/>
    </row>
    <row r="557">
      <c r="A557" s="105"/>
      <c r="C557" s="102"/>
      <c r="K557" s="106"/>
      <c r="P557" s="106"/>
    </row>
    <row r="558">
      <c r="A558" s="105"/>
      <c r="C558" s="105"/>
      <c r="K558" s="106"/>
      <c r="P558" s="106"/>
    </row>
    <row r="559">
      <c r="A559" s="105"/>
      <c r="C559" s="105"/>
      <c r="K559" s="106"/>
      <c r="P559" s="106"/>
    </row>
    <row r="560">
      <c r="A560" s="105"/>
      <c r="C560" s="105"/>
      <c r="K560" s="106"/>
      <c r="P560" s="106"/>
    </row>
    <row r="561">
      <c r="A561" s="105"/>
      <c r="C561" s="105"/>
      <c r="K561" s="106"/>
      <c r="P561" s="106"/>
    </row>
    <row r="562">
      <c r="A562" s="105"/>
      <c r="C562" s="105"/>
      <c r="K562" s="106"/>
      <c r="P562" s="106"/>
    </row>
    <row r="563">
      <c r="A563" s="105"/>
      <c r="C563" s="105"/>
      <c r="K563" s="106"/>
      <c r="P563" s="106"/>
    </row>
    <row r="564">
      <c r="A564" s="105"/>
      <c r="C564" s="105"/>
      <c r="K564" s="106"/>
      <c r="P564" s="106"/>
    </row>
    <row r="565">
      <c r="A565" s="105"/>
      <c r="C565" s="105"/>
      <c r="K565" s="106"/>
      <c r="P565" s="106"/>
    </row>
    <row r="566">
      <c r="A566" s="105"/>
      <c r="C566" s="105"/>
      <c r="K566" s="106"/>
      <c r="P566" s="106"/>
    </row>
    <row r="567">
      <c r="A567" s="105"/>
      <c r="C567" s="105"/>
      <c r="K567" s="106"/>
      <c r="P567" s="106"/>
    </row>
    <row r="568">
      <c r="A568" s="105"/>
      <c r="C568" s="105"/>
      <c r="K568" s="106"/>
      <c r="P568" s="106"/>
    </row>
    <row r="569">
      <c r="A569" s="105"/>
      <c r="C569" s="105"/>
      <c r="K569" s="106"/>
      <c r="P569" s="106"/>
    </row>
    <row r="570">
      <c r="A570" s="105"/>
      <c r="C570" s="105"/>
      <c r="K570" s="106"/>
      <c r="P570" s="106"/>
    </row>
    <row r="571">
      <c r="A571" s="105"/>
      <c r="C571" s="105"/>
      <c r="K571" s="106"/>
      <c r="P571" s="106"/>
    </row>
    <row r="572">
      <c r="A572" s="105"/>
      <c r="C572" s="105"/>
      <c r="K572" s="106"/>
      <c r="P572" s="106"/>
    </row>
    <row r="573">
      <c r="A573" s="105"/>
      <c r="C573" s="105"/>
      <c r="K573" s="106"/>
      <c r="P573" s="106"/>
    </row>
    <row r="574">
      <c r="A574" s="105"/>
      <c r="C574" s="105"/>
      <c r="K574" s="106"/>
      <c r="P574" s="106"/>
    </row>
    <row r="575">
      <c r="A575" s="105"/>
      <c r="C575" s="105"/>
      <c r="K575" s="106"/>
      <c r="P575" s="106"/>
    </row>
    <row r="576">
      <c r="A576" s="105"/>
      <c r="C576" s="105"/>
      <c r="K576" s="106"/>
      <c r="P576" s="106"/>
    </row>
    <row r="577">
      <c r="A577" s="105"/>
      <c r="C577" s="105"/>
      <c r="K577" s="106"/>
      <c r="P577" s="106"/>
    </row>
    <row r="578">
      <c r="A578" s="105"/>
      <c r="C578" s="105"/>
      <c r="K578" s="106"/>
      <c r="P578" s="106"/>
    </row>
    <row r="579">
      <c r="A579" s="105"/>
      <c r="C579" s="105"/>
      <c r="K579" s="106"/>
      <c r="P579" s="106"/>
    </row>
    <row r="580">
      <c r="A580" s="105"/>
      <c r="C580" s="105"/>
      <c r="K580" s="106"/>
      <c r="P580" s="106"/>
    </row>
    <row r="581">
      <c r="A581" s="105"/>
      <c r="C581" s="105"/>
      <c r="K581" s="106"/>
      <c r="P581" s="106"/>
    </row>
    <row r="582">
      <c r="A582" s="105"/>
      <c r="C582" s="105"/>
      <c r="K582" s="106"/>
      <c r="P582" s="106"/>
    </row>
    <row r="583">
      <c r="A583" s="105"/>
      <c r="C583" s="105"/>
      <c r="K583" s="106"/>
      <c r="P583" s="106"/>
    </row>
    <row r="584">
      <c r="A584" s="105"/>
      <c r="C584" s="105"/>
      <c r="K584" s="106"/>
      <c r="P584" s="106"/>
    </row>
    <row r="585">
      <c r="A585" s="105"/>
      <c r="C585" s="105"/>
      <c r="K585" s="106"/>
      <c r="P585" s="106"/>
    </row>
    <row r="586">
      <c r="A586" s="105"/>
      <c r="C586" s="105"/>
      <c r="K586" s="106"/>
      <c r="P586" s="106"/>
    </row>
    <row r="587">
      <c r="A587" s="105"/>
      <c r="C587" s="105"/>
      <c r="K587" s="106"/>
      <c r="P587" s="106"/>
    </row>
    <row r="588">
      <c r="A588" s="105"/>
      <c r="C588" s="105"/>
      <c r="K588" s="106"/>
      <c r="P588" s="106"/>
    </row>
    <row r="589">
      <c r="A589" s="105"/>
      <c r="C589" s="105"/>
      <c r="K589" s="106"/>
      <c r="P589" s="106"/>
    </row>
    <row r="590">
      <c r="A590" s="105"/>
      <c r="C590" s="105"/>
      <c r="K590" s="106"/>
      <c r="P590" s="106"/>
    </row>
    <row r="591">
      <c r="A591" s="105"/>
      <c r="C591" s="105"/>
      <c r="K591" s="106"/>
      <c r="P591" s="106"/>
    </row>
    <row r="592">
      <c r="A592" s="105"/>
      <c r="C592" s="105"/>
      <c r="K592" s="106"/>
      <c r="P592" s="106"/>
    </row>
    <row r="593">
      <c r="A593" s="105"/>
      <c r="C593" s="105"/>
      <c r="K593" s="106"/>
      <c r="P593" s="106"/>
    </row>
    <row r="594">
      <c r="A594" s="105"/>
      <c r="C594" s="105"/>
      <c r="K594" s="106"/>
      <c r="P594" s="106"/>
    </row>
    <row r="595">
      <c r="A595" s="105"/>
      <c r="C595" s="105"/>
      <c r="K595" s="106"/>
      <c r="P595" s="106"/>
    </row>
    <row r="596">
      <c r="A596" s="105"/>
      <c r="C596" s="105"/>
      <c r="K596" s="106"/>
      <c r="P596" s="106"/>
    </row>
    <row r="597">
      <c r="A597" s="105"/>
      <c r="C597" s="105"/>
      <c r="K597" s="106"/>
      <c r="P597" s="106"/>
    </row>
    <row r="598">
      <c r="A598" s="105"/>
      <c r="C598" s="105"/>
      <c r="K598" s="106"/>
      <c r="P598" s="106"/>
    </row>
    <row r="599">
      <c r="A599" s="105"/>
      <c r="C599" s="105"/>
      <c r="K599" s="106"/>
      <c r="P599" s="106"/>
    </row>
    <row r="600">
      <c r="A600" s="105"/>
      <c r="C600" s="105"/>
      <c r="K600" s="106"/>
      <c r="P600" s="106"/>
    </row>
    <row r="601">
      <c r="A601" s="105"/>
      <c r="C601" s="105"/>
      <c r="K601" s="106"/>
      <c r="P601" s="106"/>
    </row>
    <row r="602">
      <c r="A602" s="105"/>
      <c r="C602" s="105"/>
      <c r="K602" s="106"/>
      <c r="P602" s="106"/>
    </row>
    <row r="603">
      <c r="A603" s="105"/>
      <c r="C603" s="105"/>
      <c r="K603" s="106"/>
      <c r="P603" s="106"/>
    </row>
    <row r="604">
      <c r="A604" s="105"/>
      <c r="C604" s="105"/>
      <c r="K604" s="106"/>
      <c r="P604" s="106"/>
    </row>
    <row r="605">
      <c r="A605" s="105"/>
      <c r="C605" s="105"/>
      <c r="K605" s="106"/>
      <c r="P605" s="106"/>
    </row>
    <row r="606">
      <c r="A606" s="105"/>
      <c r="C606" s="105"/>
      <c r="K606" s="106"/>
      <c r="P606" s="106"/>
    </row>
    <row r="607">
      <c r="A607" s="105"/>
      <c r="C607" s="105"/>
      <c r="K607" s="106"/>
      <c r="P607" s="106"/>
    </row>
    <row r="608">
      <c r="A608" s="105"/>
      <c r="C608" s="105"/>
      <c r="K608" s="106"/>
      <c r="P608" s="106"/>
    </row>
    <row r="609">
      <c r="A609" s="105"/>
      <c r="C609" s="105"/>
      <c r="K609" s="106"/>
      <c r="P609" s="106"/>
    </row>
    <row r="610">
      <c r="A610" s="105"/>
      <c r="C610" s="105"/>
      <c r="K610" s="106"/>
      <c r="P610" s="106"/>
    </row>
    <row r="611">
      <c r="A611" s="105"/>
      <c r="C611" s="105"/>
      <c r="K611" s="106"/>
      <c r="P611" s="106"/>
    </row>
    <row r="612">
      <c r="A612" s="105"/>
      <c r="C612" s="105"/>
      <c r="G612" s="18"/>
      <c r="K612" s="106"/>
      <c r="P612" s="106"/>
    </row>
    <row r="613">
      <c r="A613" s="105"/>
      <c r="C613" s="105"/>
      <c r="G613" s="18"/>
      <c r="K613" s="106"/>
      <c r="P613" s="106"/>
    </row>
    <row r="614">
      <c r="A614" s="105"/>
      <c r="C614" s="105"/>
      <c r="G614" s="18"/>
      <c r="K614" s="106"/>
      <c r="P614" s="106"/>
    </row>
    <row r="615">
      <c r="A615" s="105"/>
      <c r="C615" s="105"/>
      <c r="G615" s="18"/>
      <c r="K615" s="106"/>
      <c r="P615" s="106"/>
    </row>
    <row r="616">
      <c r="A616" s="105"/>
      <c r="C616" s="105"/>
      <c r="G616" s="18"/>
      <c r="K616" s="106"/>
      <c r="P616" s="106"/>
    </row>
    <row r="617">
      <c r="A617" s="105"/>
      <c r="C617" s="105"/>
      <c r="G617" s="18"/>
      <c r="K617" s="106"/>
      <c r="P617" s="106"/>
    </row>
    <row r="618">
      <c r="A618" s="105"/>
      <c r="C618" s="105"/>
      <c r="G618" s="18"/>
      <c r="K618" s="106"/>
      <c r="P618" s="106"/>
    </row>
    <row r="619">
      <c r="A619" s="105"/>
      <c r="C619" s="105"/>
      <c r="G619" s="18"/>
      <c r="K619" s="106"/>
      <c r="P619" s="106"/>
    </row>
    <row r="620">
      <c r="A620" s="105"/>
      <c r="C620" s="105"/>
      <c r="G620" s="18"/>
      <c r="K620" s="106"/>
      <c r="P620" s="106"/>
    </row>
    <row r="621">
      <c r="A621" s="107"/>
      <c r="B621" s="108"/>
      <c r="C621" s="109"/>
      <c r="G621" s="18"/>
      <c r="H621" s="34"/>
      <c r="I621" s="34"/>
      <c r="J621" s="34"/>
      <c r="K621" s="20"/>
      <c r="L621" s="21"/>
      <c r="M621" s="42"/>
      <c r="N621" s="42"/>
      <c r="O621" s="42"/>
      <c r="P621" s="23"/>
      <c r="Q621" s="24"/>
    </row>
    <row r="622">
      <c r="A622" s="105"/>
      <c r="C622" s="105"/>
      <c r="G622" s="18"/>
      <c r="K622" s="106"/>
      <c r="P622" s="106"/>
    </row>
    <row r="623">
      <c r="A623" s="105"/>
      <c r="C623" s="105"/>
      <c r="G623" s="18"/>
      <c r="K623" s="106"/>
      <c r="P623" s="106"/>
    </row>
    <row r="624">
      <c r="A624" s="105"/>
      <c r="C624" s="105"/>
      <c r="G624" s="18"/>
      <c r="K624" s="106"/>
      <c r="P624" s="106"/>
    </row>
    <row r="625">
      <c r="A625" s="105"/>
      <c r="C625" s="105"/>
      <c r="G625" s="18"/>
      <c r="K625" s="106"/>
      <c r="P625" s="106"/>
    </row>
    <row r="626">
      <c r="A626" s="105"/>
      <c r="C626" s="105"/>
      <c r="G626" s="18"/>
      <c r="K626" s="106"/>
      <c r="P626" s="106"/>
    </row>
    <row r="627">
      <c r="A627" s="105"/>
      <c r="C627" s="105"/>
      <c r="G627" s="18"/>
      <c r="K627" s="106"/>
      <c r="P627" s="106"/>
    </row>
    <row r="628">
      <c r="A628" s="105"/>
      <c r="C628" s="105"/>
      <c r="G628" s="18"/>
      <c r="K628" s="106"/>
      <c r="P628" s="106"/>
    </row>
    <row r="629">
      <c r="A629" s="105"/>
      <c r="C629" s="105"/>
      <c r="G629" s="18"/>
      <c r="K629" s="106"/>
      <c r="P629" s="106"/>
    </row>
    <row r="630">
      <c r="A630" s="105"/>
      <c r="C630" s="105"/>
      <c r="G630" s="18"/>
      <c r="K630" s="106"/>
      <c r="P630" s="106"/>
    </row>
    <row r="631">
      <c r="A631" s="105"/>
      <c r="C631" s="105"/>
      <c r="G631" s="18"/>
      <c r="K631" s="106"/>
      <c r="P631" s="106"/>
    </row>
    <row r="632">
      <c r="A632" s="105"/>
      <c r="C632" s="105"/>
      <c r="G632" s="18"/>
      <c r="K632" s="106"/>
      <c r="P632" s="106"/>
    </row>
    <row r="633">
      <c r="A633" s="105"/>
      <c r="C633" s="105"/>
      <c r="G633" s="18"/>
      <c r="K633" s="106"/>
      <c r="P633" s="106"/>
    </row>
    <row r="634">
      <c r="A634" s="105"/>
      <c r="C634" s="105"/>
      <c r="G634" s="18"/>
      <c r="K634" s="106"/>
      <c r="P634" s="106"/>
    </row>
    <row r="635">
      <c r="A635" s="105"/>
      <c r="C635" s="105"/>
      <c r="G635" s="18"/>
      <c r="K635" s="106"/>
      <c r="P635" s="106"/>
    </row>
    <row r="636">
      <c r="A636" s="105"/>
      <c r="C636" s="105"/>
      <c r="G636" s="18"/>
      <c r="K636" s="106"/>
      <c r="P636" s="106"/>
    </row>
    <row r="637">
      <c r="A637" s="105"/>
      <c r="C637" s="105"/>
      <c r="G637" s="18"/>
      <c r="K637" s="106"/>
      <c r="P637" s="106"/>
    </row>
    <row r="638">
      <c r="A638" s="105"/>
      <c r="C638" s="105"/>
      <c r="G638" s="18"/>
      <c r="K638" s="106"/>
      <c r="P638" s="106"/>
    </row>
    <row r="639">
      <c r="A639" s="105"/>
      <c r="C639" s="105"/>
      <c r="G639" s="18"/>
      <c r="K639" s="106"/>
      <c r="P639" s="106"/>
    </row>
    <row r="640">
      <c r="A640" s="105"/>
      <c r="C640" s="105"/>
      <c r="G640" s="18"/>
      <c r="K640" s="106"/>
      <c r="P640" s="106"/>
    </row>
    <row r="641">
      <c r="A641" s="105"/>
      <c r="C641" s="105"/>
      <c r="G641" s="18"/>
      <c r="K641" s="106"/>
      <c r="P641" s="106"/>
    </row>
    <row r="642">
      <c r="A642" s="105"/>
      <c r="C642" s="105"/>
      <c r="G642" s="18"/>
      <c r="K642" s="106"/>
      <c r="P642" s="106"/>
    </row>
    <row r="643">
      <c r="A643" s="105"/>
      <c r="C643" s="105"/>
      <c r="G643" s="18"/>
      <c r="K643" s="106"/>
      <c r="P643" s="106"/>
    </row>
    <row r="644">
      <c r="A644" s="105"/>
      <c r="C644" s="105"/>
      <c r="G644" s="18"/>
      <c r="K644" s="106"/>
      <c r="P644" s="106"/>
    </row>
    <row r="645">
      <c r="A645" s="105"/>
      <c r="C645" s="105"/>
      <c r="G645" s="18"/>
      <c r="K645" s="106"/>
      <c r="P645" s="106"/>
    </row>
    <row r="646">
      <c r="A646" s="105"/>
      <c r="C646" s="105"/>
      <c r="G646" s="18"/>
      <c r="K646" s="106"/>
      <c r="P646" s="106"/>
    </row>
    <row r="647">
      <c r="A647" s="105"/>
      <c r="C647" s="105"/>
      <c r="G647" s="18"/>
      <c r="K647" s="106"/>
      <c r="P647" s="106"/>
    </row>
    <row r="648">
      <c r="A648" s="105"/>
      <c r="C648" s="105"/>
      <c r="G648" s="18"/>
      <c r="K648" s="106"/>
      <c r="P648" s="106"/>
    </row>
    <row r="649">
      <c r="A649" s="105"/>
      <c r="C649" s="105"/>
      <c r="G649" s="18"/>
      <c r="K649" s="106"/>
      <c r="P649" s="106"/>
    </row>
    <row r="650">
      <c r="A650" s="105"/>
      <c r="C650" s="105"/>
      <c r="G650" s="18"/>
      <c r="K650" s="106"/>
      <c r="P650" s="106"/>
    </row>
    <row r="651">
      <c r="A651" s="105"/>
      <c r="C651" s="105"/>
      <c r="G651" s="18"/>
      <c r="K651" s="106"/>
      <c r="P651" s="106"/>
    </row>
    <row r="652">
      <c r="A652" s="105"/>
      <c r="C652" s="105"/>
      <c r="G652" s="18"/>
      <c r="K652" s="106"/>
      <c r="P652" s="106"/>
    </row>
    <row r="653">
      <c r="A653" s="105"/>
      <c r="C653" s="105"/>
      <c r="G653" s="18"/>
      <c r="K653" s="106"/>
      <c r="P653" s="106"/>
    </row>
    <row r="654">
      <c r="A654" s="105"/>
      <c r="C654" s="105"/>
      <c r="G654" s="18"/>
      <c r="K654" s="106"/>
      <c r="P654" s="106"/>
    </row>
    <row r="655">
      <c r="A655" s="105"/>
      <c r="C655" s="105"/>
      <c r="G655" s="18"/>
      <c r="K655" s="106"/>
      <c r="P655" s="106"/>
    </row>
    <row r="656">
      <c r="A656" s="105"/>
      <c r="C656" s="105"/>
      <c r="G656" s="18"/>
      <c r="K656" s="106"/>
      <c r="P656" s="106"/>
    </row>
    <row r="657">
      <c r="A657" s="105"/>
      <c r="C657" s="105"/>
      <c r="G657" s="18"/>
      <c r="K657" s="106"/>
      <c r="P657" s="106"/>
    </row>
    <row r="658">
      <c r="A658" s="105"/>
      <c r="C658" s="105"/>
      <c r="G658" s="18"/>
      <c r="K658" s="106"/>
      <c r="P658" s="106"/>
    </row>
    <row r="659">
      <c r="A659" s="105"/>
      <c r="C659" s="105"/>
      <c r="G659" s="18"/>
      <c r="K659" s="106"/>
      <c r="P659" s="106"/>
    </row>
    <row r="660">
      <c r="A660" s="105"/>
      <c r="C660" s="105"/>
      <c r="G660" s="18"/>
      <c r="K660" s="106"/>
      <c r="P660" s="106"/>
    </row>
    <row r="661">
      <c r="A661" s="105"/>
      <c r="C661" s="105"/>
      <c r="G661" s="18"/>
      <c r="K661" s="106"/>
      <c r="P661" s="106"/>
    </row>
    <row r="662">
      <c r="A662" s="105"/>
      <c r="C662" s="105"/>
      <c r="G662" s="18"/>
      <c r="K662" s="106"/>
      <c r="P662" s="106"/>
    </row>
    <row r="663">
      <c r="A663" s="105"/>
      <c r="C663" s="105"/>
      <c r="G663" s="18"/>
      <c r="K663" s="106"/>
      <c r="P663" s="106"/>
    </row>
    <row r="664">
      <c r="A664" s="105"/>
      <c r="C664" s="105"/>
      <c r="G664" s="18"/>
      <c r="K664" s="106"/>
      <c r="P664" s="106"/>
    </row>
    <row r="665">
      <c r="A665" s="105"/>
      <c r="C665" s="105"/>
      <c r="G665" s="18"/>
      <c r="K665" s="106"/>
      <c r="P665" s="106"/>
    </row>
    <row r="666">
      <c r="A666" s="105"/>
      <c r="C666" s="105"/>
      <c r="G666" s="18"/>
      <c r="K666" s="106"/>
      <c r="P666" s="106"/>
    </row>
    <row r="667">
      <c r="A667" s="105"/>
      <c r="C667" s="105"/>
      <c r="G667" s="18"/>
      <c r="K667" s="106"/>
      <c r="P667" s="106"/>
    </row>
    <row r="668">
      <c r="A668" s="105"/>
      <c r="C668" s="105"/>
      <c r="G668" s="18"/>
      <c r="K668" s="106"/>
      <c r="P668" s="106"/>
    </row>
    <row r="669">
      <c r="A669" s="105"/>
      <c r="C669" s="105"/>
      <c r="G669" s="18"/>
      <c r="K669" s="106"/>
      <c r="P669" s="106"/>
    </row>
    <row r="670">
      <c r="A670" s="105"/>
      <c r="C670" s="105"/>
      <c r="G670" s="18"/>
      <c r="K670" s="106"/>
      <c r="P670" s="106"/>
    </row>
    <row r="671">
      <c r="A671" s="105"/>
      <c r="C671" s="105"/>
      <c r="G671" s="18"/>
      <c r="K671" s="106"/>
      <c r="P671" s="106"/>
    </row>
    <row r="672">
      <c r="A672" s="105"/>
      <c r="C672" s="105"/>
      <c r="G672" s="18"/>
      <c r="K672" s="106"/>
      <c r="P672" s="106"/>
    </row>
    <row r="673">
      <c r="A673" s="105"/>
      <c r="C673" s="105"/>
      <c r="G673" s="18"/>
      <c r="K673" s="106"/>
      <c r="P673" s="106"/>
    </row>
    <row r="674">
      <c r="A674" s="105"/>
      <c r="C674" s="105"/>
      <c r="G674" s="18"/>
      <c r="K674" s="106"/>
      <c r="P674" s="106"/>
    </row>
    <row r="675">
      <c r="A675" s="105"/>
      <c r="C675" s="105"/>
      <c r="G675" s="18"/>
      <c r="K675" s="106"/>
      <c r="P675" s="106"/>
    </row>
    <row r="676">
      <c r="A676" s="105"/>
      <c r="C676" s="105"/>
      <c r="G676" s="18"/>
      <c r="K676" s="106"/>
      <c r="P676" s="106"/>
    </row>
    <row r="677">
      <c r="A677" s="105"/>
      <c r="C677" s="105"/>
      <c r="G677" s="18"/>
      <c r="K677" s="106"/>
      <c r="P677" s="106"/>
    </row>
    <row r="678">
      <c r="A678" s="105"/>
      <c r="C678" s="105"/>
      <c r="G678" s="18"/>
      <c r="K678" s="106"/>
      <c r="P678" s="106"/>
    </row>
    <row r="679">
      <c r="A679" s="105"/>
      <c r="C679" s="105"/>
      <c r="G679" s="18"/>
      <c r="K679" s="106"/>
      <c r="P679" s="106"/>
    </row>
    <row r="680">
      <c r="A680" s="105"/>
      <c r="C680" s="105"/>
      <c r="G680" s="18"/>
      <c r="K680" s="106"/>
      <c r="P680" s="106"/>
    </row>
    <row r="681">
      <c r="A681" s="105"/>
      <c r="C681" s="105"/>
      <c r="G681" s="18"/>
      <c r="K681" s="106"/>
      <c r="P681" s="106"/>
    </row>
    <row r="682">
      <c r="A682" s="105"/>
      <c r="C682" s="105"/>
      <c r="G682" s="18"/>
      <c r="K682" s="106"/>
      <c r="P682" s="106"/>
    </row>
    <row r="683">
      <c r="A683" s="105"/>
      <c r="C683" s="105"/>
      <c r="K683" s="106"/>
      <c r="P683" s="106"/>
    </row>
    <row r="684">
      <c r="A684" s="105"/>
      <c r="C684" s="105"/>
      <c r="K684" s="106"/>
      <c r="P684" s="106"/>
    </row>
    <row r="685">
      <c r="A685" s="105"/>
      <c r="C685" s="105"/>
      <c r="K685" s="106"/>
      <c r="P685" s="106"/>
    </row>
    <row r="686">
      <c r="A686" s="105"/>
      <c r="C686" s="105"/>
      <c r="K686" s="106"/>
      <c r="P686" s="106"/>
    </row>
    <row r="687">
      <c r="A687" s="105"/>
      <c r="C687" s="105"/>
      <c r="K687" s="106"/>
      <c r="P687" s="106"/>
    </row>
    <row r="688">
      <c r="A688" s="105"/>
      <c r="C688" s="105"/>
      <c r="K688" s="106"/>
      <c r="P688" s="106"/>
    </row>
    <row r="689">
      <c r="A689" s="105"/>
      <c r="C689" s="105"/>
      <c r="K689" s="106"/>
      <c r="P689" s="106"/>
    </row>
    <row r="690">
      <c r="A690" s="105"/>
      <c r="C690" s="105"/>
      <c r="K690" s="106"/>
      <c r="P690" s="106"/>
    </row>
    <row r="691">
      <c r="A691" s="105"/>
      <c r="C691" s="105"/>
      <c r="K691" s="106"/>
      <c r="P691" s="106"/>
    </row>
    <row r="692">
      <c r="A692" s="105"/>
      <c r="C692" s="105"/>
      <c r="K692" s="106"/>
      <c r="P692" s="106"/>
    </row>
    <row r="693">
      <c r="A693" s="105"/>
      <c r="C693" s="105"/>
      <c r="K693" s="106"/>
      <c r="P693" s="106"/>
    </row>
    <row r="694">
      <c r="A694" s="105"/>
      <c r="C694" s="105"/>
      <c r="K694" s="106"/>
      <c r="P694" s="106"/>
    </row>
    <row r="695">
      <c r="A695" s="105"/>
      <c r="C695" s="105"/>
      <c r="K695" s="106"/>
      <c r="P695" s="106"/>
    </row>
    <row r="696">
      <c r="A696" s="105"/>
      <c r="C696" s="105"/>
      <c r="K696" s="106"/>
      <c r="P696" s="106"/>
    </row>
    <row r="697">
      <c r="A697" s="105"/>
      <c r="C697" s="105"/>
      <c r="K697" s="106"/>
      <c r="P697" s="106"/>
    </row>
    <row r="698">
      <c r="A698" s="105"/>
      <c r="C698" s="105"/>
      <c r="K698" s="106"/>
      <c r="P698" s="106"/>
    </row>
    <row r="699">
      <c r="A699" s="105"/>
      <c r="C699" s="105"/>
      <c r="K699" s="106"/>
      <c r="P699" s="106"/>
    </row>
    <row r="700">
      <c r="A700" s="105"/>
      <c r="C700" s="105"/>
      <c r="K700" s="106"/>
      <c r="P700" s="106"/>
    </row>
    <row r="701">
      <c r="A701" s="105"/>
      <c r="C701" s="105"/>
      <c r="K701" s="106"/>
      <c r="P701" s="106"/>
    </row>
    <row r="702">
      <c r="A702" s="105"/>
      <c r="C702" s="105"/>
      <c r="K702" s="106"/>
      <c r="P702" s="106"/>
    </row>
    <row r="703">
      <c r="A703" s="105"/>
      <c r="C703" s="105"/>
      <c r="K703" s="106"/>
      <c r="P703" s="106"/>
    </row>
    <row r="704">
      <c r="A704" s="105"/>
      <c r="C704" s="105"/>
      <c r="K704" s="106"/>
      <c r="P704" s="106"/>
    </row>
    <row r="705">
      <c r="A705" s="105"/>
      <c r="C705" s="105"/>
      <c r="K705" s="106"/>
      <c r="P705" s="106"/>
    </row>
    <row r="706">
      <c r="A706" s="105"/>
      <c r="C706" s="105"/>
      <c r="K706" s="106"/>
      <c r="P706" s="106"/>
    </row>
    <row r="707">
      <c r="A707" s="105"/>
      <c r="C707" s="105"/>
      <c r="K707" s="106"/>
      <c r="P707" s="106"/>
    </row>
    <row r="708">
      <c r="A708" s="105"/>
      <c r="C708" s="105"/>
      <c r="K708" s="106"/>
      <c r="P708" s="106"/>
    </row>
    <row r="709">
      <c r="A709" s="105"/>
      <c r="C709" s="105"/>
      <c r="K709" s="106"/>
      <c r="P709" s="106"/>
    </row>
    <row r="710">
      <c r="A710" s="105"/>
      <c r="C710" s="105"/>
      <c r="K710" s="106"/>
      <c r="P710" s="106"/>
    </row>
    <row r="711">
      <c r="A711" s="105"/>
      <c r="C711" s="105"/>
      <c r="K711" s="106"/>
      <c r="P711" s="106"/>
    </row>
    <row r="712">
      <c r="A712" s="105"/>
      <c r="C712" s="105"/>
      <c r="K712" s="106"/>
      <c r="P712" s="106"/>
    </row>
    <row r="713">
      <c r="A713" s="105"/>
      <c r="C713" s="105"/>
      <c r="K713" s="106"/>
      <c r="P713" s="106"/>
    </row>
    <row r="714">
      <c r="A714" s="105"/>
      <c r="C714" s="105"/>
      <c r="K714" s="106"/>
      <c r="P714" s="106"/>
    </row>
    <row r="715">
      <c r="A715" s="105"/>
      <c r="C715" s="105"/>
      <c r="K715" s="106"/>
      <c r="P715" s="106"/>
    </row>
    <row r="716">
      <c r="A716" s="105"/>
      <c r="C716" s="105"/>
      <c r="K716" s="106"/>
      <c r="P716" s="106"/>
    </row>
    <row r="717">
      <c r="A717" s="105"/>
      <c r="C717" s="105"/>
      <c r="K717" s="106"/>
      <c r="P717" s="106"/>
    </row>
    <row r="718">
      <c r="A718" s="105"/>
      <c r="C718" s="105"/>
      <c r="K718" s="106"/>
      <c r="P718" s="106"/>
    </row>
    <row r="719">
      <c r="A719" s="105"/>
      <c r="C719" s="105"/>
      <c r="K719" s="106"/>
      <c r="P719" s="106"/>
    </row>
    <row r="720">
      <c r="A720" s="105"/>
      <c r="C720" s="105"/>
      <c r="K720" s="106"/>
      <c r="P720" s="106"/>
    </row>
    <row r="721">
      <c r="A721" s="105"/>
      <c r="C721" s="105"/>
      <c r="K721" s="106"/>
      <c r="P721" s="106"/>
    </row>
    <row r="722">
      <c r="A722" s="105"/>
      <c r="C722" s="105"/>
      <c r="K722" s="106"/>
      <c r="P722" s="106"/>
    </row>
    <row r="723">
      <c r="A723" s="105"/>
      <c r="C723" s="105"/>
      <c r="K723" s="106"/>
      <c r="P723" s="106"/>
    </row>
    <row r="724">
      <c r="A724" s="105"/>
      <c r="C724" s="105"/>
      <c r="K724" s="106"/>
      <c r="P724" s="106"/>
    </row>
    <row r="725">
      <c r="A725" s="105"/>
      <c r="C725" s="105"/>
      <c r="K725" s="106"/>
      <c r="P725" s="106"/>
    </row>
    <row r="726">
      <c r="A726" s="105"/>
      <c r="C726" s="105"/>
      <c r="K726" s="106"/>
      <c r="P726" s="106"/>
    </row>
    <row r="727">
      <c r="A727" s="105"/>
      <c r="C727" s="105"/>
      <c r="K727" s="106"/>
      <c r="P727" s="106"/>
    </row>
    <row r="728">
      <c r="A728" s="105"/>
      <c r="C728" s="105"/>
      <c r="K728" s="106"/>
      <c r="P728" s="106"/>
    </row>
    <row r="729">
      <c r="A729" s="105"/>
      <c r="C729" s="105"/>
      <c r="K729" s="106"/>
      <c r="P729" s="106"/>
    </row>
    <row r="730">
      <c r="A730" s="105"/>
      <c r="C730" s="105"/>
      <c r="K730" s="106"/>
      <c r="P730" s="106"/>
    </row>
    <row r="731">
      <c r="A731" s="105"/>
      <c r="C731" s="105"/>
      <c r="K731" s="106"/>
      <c r="P731" s="106"/>
    </row>
    <row r="732">
      <c r="A732" s="105"/>
      <c r="C732" s="105"/>
      <c r="K732" s="106"/>
      <c r="P732" s="106"/>
    </row>
    <row r="733">
      <c r="A733" s="105"/>
      <c r="C733" s="105"/>
      <c r="K733" s="106"/>
      <c r="P733" s="106"/>
    </row>
    <row r="734">
      <c r="A734" s="105"/>
      <c r="C734" s="105"/>
      <c r="K734" s="106"/>
      <c r="P734" s="106"/>
    </row>
    <row r="735">
      <c r="A735" s="105"/>
      <c r="C735" s="105"/>
      <c r="K735" s="106"/>
      <c r="P735" s="106"/>
    </row>
    <row r="736">
      <c r="A736" s="105"/>
      <c r="C736" s="105"/>
      <c r="K736" s="106"/>
      <c r="P736" s="106"/>
    </row>
    <row r="737">
      <c r="A737" s="105"/>
      <c r="C737" s="105"/>
      <c r="K737" s="106"/>
      <c r="P737" s="106"/>
    </row>
    <row r="738">
      <c r="A738" s="105"/>
      <c r="C738" s="105"/>
      <c r="K738" s="106"/>
      <c r="P738" s="106"/>
    </row>
    <row r="739">
      <c r="A739" s="105"/>
      <c r="C739" s="105"/>
      <c r="K739" s="106"/>
      <c r="P739" s="106"/>
    </row>
    <row r="740">
      <c r="A740" s="105"/>
      <c r="C740" s="105"/>
      <c r="K740" s="106"/>
      <c r="P740" s="106"/>
    </row>
    <row r="741">
      <c r="A741" s="105"/>
      <c r="C741" s="105"/>
      <c r="K741" s="106"/>
      <c r="P741" s="106"/>
    </row>
    <row r="742">
      <c r="A742" s="105"/>
      <c r="C742" s="105"/>
      <c r="K742" s="106"/>
      <c r="P742" s="106"/>
    </row>
    <row r="743">
      <c r="A743" s="105"/>
      <c r="C743" s="105"/>
      <c r="K743" s="106"/>
      <c r="P743" s="106"/>
    </row>
    <row r="744">
      <c r="A744" s="105"/>
      <c r="C744" s="105"/>
      <c r="K744" s="106"/>
      <c r="P744" s="106"/>
    </row>
    <row r="745">
      <c r="A745" s="105"/>
      <c r="C745" s="105"/>
      <c r="K745" s="106"/>
      <c r="P745" s="106"/>
    </row>
    <row r="746">
      <c r="A746" s="105"/>
      <c r="C746" s="105"/>
      <c r="K746" s="106"/>
      <c r="P746" s="106"/>
    </row>
    <row r="747">
      <c r="A747" s="105"/>
      <c r="C747" s="105"/>
      <c r="K747" s="106"/>
      <c r="P747" s="106"/>
    </row>
    <row r="748">
      <c r="A748" s="105"/>
      <c r="C748" s="105"/>
      <c r="K748" s="106"/>
      <c r="P748" s="106"/>
    </row>
    <row r="749">
      <c r="A749" s="105"/>
      <c r="C749" s="105"/>
      <c r="K749" s="106"/>
      <c r="P749" s="106"/>
    </row>
    <row r="750">
      <c r="A750" s="105"/>
      <c r="C750" s="105"/>
      <c r="K750" s="106"/>
      <c r="P750" s="106"/>
    </row>
    <row r="751">
      <c r="A751" s="105"/>
      <c r="C751" s="105"/>
      <c r="K751" s="106"/>
      <c r="P751" s="106"/>
    </row>
    <row r="752">
      <c r="A752" s="105"/>
      <c r="C752" s="105"/>
      <c r="K752" s="106"/>
      <c r="P752" s="106"/>
    </row>
    <row r="753">
      <c r="A753" s="105"/>
      <c r="C753" s="105"/>
      <c r="K753" s="106"/>
      <c r="P753" s="106"/>
    </row>
    <row r="754">
      <c r="A754" s="105"/>
      <c r="C754" s="105"/>
      <c r="K754" s="106"/>
      <c r="P754" s="106"/>
    </row>
    <row r="755">
      <c r="A755" s="105"/>
      <c r="C755" s="105"/>
      <c r="K755" s="106"/>
      <c r="P755" s="106"/>
    </row>
    <row r="756">
      <c r="A756" s="105"/>
      <c r="C756" s="105"/>
      <c r="K756" s="106"/>
      <c r="P756" s="106"/>
    </row>
    <row r="757">
      <c r="A757" s="105"/>
      <c r="C757" s="105"/>
      <c r="K757" s="106"/>
      <c r="P757" s="106"/>
    </row>
    <row r="758">
      <c r="A758" s="105"/>
      <c r="C758" s="105"/>
      <c r="K758" s="106"/>
      <c r="P758" s="106"/>
    </row>
    <row r="759">
      <c r="A759" s="105"/>
      <c r="C759" s="105"/>
      <c r="K759" s="106"/>
      <c r="P759" s="106"/>
    </row>
    <row r="760">
      <c r="A760" s="105"/>
      <c r="C760" s="105"/>
      <c r="K760" s="106"/>
      <c r="P760" s="106"/>
    </row>
    <row r="761">
      <c r="A761" s="105"/>
      <c r="C761" s="105"/>
      <c r="K761" s="106"/>
      <c r="P761" s="106"/>
    </row>
    <row r="762">
      <c r="A762" s="105"/>
      <c r="C762" s="105"/>
      <c r="K762" s="106"/>
      <c r="P762" s="106"/>
    </row>
    <row r="763">
      <c r="A763" s="105"/>
      <c r="C763" s="105"/>
      <c r="K763" s="106"/>
      <c r="P763" s="106"/>
    </row>
    <row r="764">
      <c r="A764" s="105"/>
      <c r="C764" s="105"/>
      <c r="K764" s="106"/>
      <c r="P764" s="106"/>
    </row>
    <row r="765">
      <c r="A765" s="105"/>
      <c r="C765" s="105"/>
      <c r="K765" s="106"/>
      <c r="P765" s="106"/>
    </row>
    <row r="766">
      <c r="A766" s="105"/>
      <c r="C766" s="105"/>
      <c r="K766" s="106"/>
      <c r="P766" s="106"/>
    </row>
    <row r="767">
      <c r="A767" s="105"/>
      <c r="C767" s="105"/>
      <c r="K767" s="106"/>
      <c r="P767" s="106"/>
    </row>
    <row r="768">
      <c r="A768" s="105"/>
      <c r="C768" s="105"/>
      <c r="K768" s="106"/>
      <c r="P768" s="106"/>
    </row>
    <row r="769">
      <c r="A769" s="105"/>
      <c r="C769" s="105"/>
      <c r="K769" s="106"/>
      <c r="P769" s="106"/>
    </row>
    <row r="770">
      <c r="A770" s="105"/>
      <c r="C770" s="105"/>
      <c r="K770" s="106"/>
      <c r="P770" s="106"/>
    </row>
    <row r="771">
      <c r="A771" s="105"/>
      <c r="C771" s="105"/>
      <c r="K771" s="106"/>
      <c r="P771" s="106"/>
    </row>
    <row r="772">
      <c r="A772" s="105"/>
      <c r="C772" s="105"/>
      <c r="K772" s="106"/>
      <c r="P772" s="106"/>
    </row>
    <row r="773">
      <c r="A773" s="105"/>
      <c r="C773" s="105"/>
      <c r="K773" s="106"/>
      <c r="P773" s="106"/>
    </row>
    <row r="774">
      <c r="A774" s="105"/>
      <c r="C774" s="105"/>
      <c r="K774" s="106"/>
      <c r="P774" s="106"/>
    </row>
    <row r="775">
      <c r="A775" s="105"/>
      <c r="C775" s="105"/>
      <c r="K775" s="106"/>
      <c r="P775" s="106"/>
    </row>
    <row r="776">
      <c r="A776" s="105"/>
      <c r="C776" s="105"/>
      <c r="K776" s="106"/>
      <c r="P776" s="106"/>
    </row>
    <row r="777">
      <c r="A777" s="105"/>
      <c r="C777" s="105"/>
      <c r="K777" s="106"/>
      <c r="P777" s="106"/>
    </row>
    <row r="778">
      <c r="A778" s="105"/>
      <c r="C778" s="105"/>
      <c r="K778" s="106"/>
      <c r="P778" s="106"/>
    </row>
    <row r="779">
      <c r="A779" s="105"/>
      <c r="C779" s="105"/>
      <c r="K779" s="106"/>
      <c r="P779" s="106"/>
    </row>
    <row r="780">
      <c r="A780" s="105"/>
      <c r="C780" s="105"/>
      <c r="K780" s="106"/>
      <c r="P780" s="106"/>
    </row>
    <row r="781">
      <c r="A781" s="105"/>
      <c r="C781" s="105"/>
      <c r="K781" s="106"/>
      <c r="P781" s="106"/>
    </row>
    <row r="782">
      <c r="A782" s="105"/>
      <c r="C782" s="105"/>
      <c r="K782" s="106"/>
      <c r="P782" s="106"/>
    </row>
    <row r="783">
      <c r="A783" s="105"/>
      <c r="C783" s="105"/>
      <c r="K783" s="106"/>
      <c r="P783" s="106"/>
    </row>
    <row r="784">
      <c r="A784" s="105"/>
      <c r="C784" s="105"/>
      <c r="K784" s="106"/>
      <c r="P784" s="106"/>
    </row>
    <row r="785">
      <c r="A785" s="105"/>
      <c r="C785" s="105"/>
      <c r="K785" s="106"/>
      <c r="P785" s="106"/>
    </row>
    <row r="786">
      <c r="A786" s="105"/>
      <c r="C786" s="105"/>
      <c r="K786" s="106"/>
      <c r="P786" s="106"/>
    </row>
    <row r="787">
      <c r="A787" s="105"/>
      <c r="C787" s="105"/>
      <c r="K787" s="106"/>
      <c r="P787" s="106"/>
    </row>
    <row r="788">
      <c r="A788" s="105"/>
      <c r="C788" s="105"/>
      <c r="K788" s="106"/>
      <c r="P788" s="106"/>
    </row>
    <row r="789">
      <c r="A789" s="105"/>
      <c r="C789" s="105"/>
      <c r="K789" s="106"/>
      <c r="P789" s="106"/>
    </row>
    <row r="790">
      <c r="A790" s="105"/>
      <c r="C790" s="105"/>
      <c r="K790" s="106"/>
      <c r="P790" s="106"/>
    </row>
    <row r="791">
      <c r="A791" s="105"/>
      <c r="C791" s="105"/>
      <c r="K791" s="106"/>
      <c r="P791" s="106"/>
    </row>
    <row r="792">
      <c r="A792" s="105"/>
      <c r="C792" s="105"/>
      <c r="K792" s="106"/>
      <c r="P792" s="106"/>
    </row>
    <row r="793">
      <c r="A793" s="105"/>
      <c r="C793" s="105"/>
      <c r="K793" s="106"/>
      <c r="P793" s="106"/>
    </row>
    <row r="794">
      <c r="A794" s="105"/>
      <c r="C794" s="105"/>
      <c r="K794" s="106"/>
      <c r="P794" s="106"/>
    </row>
    <row r="795">
      <c r="A795" s="105"/>
      <c r="C795" s="105"/>
      <c r="K795" s="106"/>
      <c r="P795" s="106"/>
    </row>
    <row r="796">
      <c r="A796" s="105"/>
      <c r="C796" s="105"/>
      <c r="K796" s="106"/>
      <c r="P796" s="106"/>
    </row>
    <row r="797">
      <c r="A797" s="105"/>
      <c r="C797" s="105"/>
      <c r="K797" s="106"/>
      <c r="P797" s="106"/>
    </row>
    <row r="798">
      <c r="A798" s="105"/>
      <c r="C798" s="105"/>
      <c r="K798" s="106"/>
      <c r="P798" s="106"/>
    </row>
    <row r="799">
      <c r="A799" s="105"/>
      <c r="C799" s="105"/>
      <c r="K799" s="106"/>
      <c r="P799" s="106"/>
    </row>
    <row r="800">
      <c r="A800" s="105"/>
      <c r="C800" s="105"/>
      <c r="K800" s="106"/>
      <c r="P800" s="106"/>
    </row>
    <row r="801">
      <c r="A801" s="105"/>
      <c r="C801" s="105"/>
      <c r="K801" s="106"/>
      <c r="P801" s="106"/>
    </row>
    <row r="802">
      <c r="A802" s="105"/>
      <c r="C802" s="105"/>
      <c r="K802" s="106"/>
      <c r="P802" s="106"/>
    </row>
    <row r="803">
      <c r="A803" s="105"/>
      <c r="C803" s="105"/>
      <c r="K803" s="106"/>
      <c r="P803" s="106"/>
    </row>
    <row r="804">
      <c r="A804" s="105"/>
      <c r="C804" s="105"/>
      <c r="K804" s="106"/>
      <c r="P804" s="106"/>
    </row>
    <row r="805">
      <c r="A805" s="105"/>
      <c r="C805" s="105"/>
      <c r="K805" s="106"/>
      <c r="P805" s="106"/>
    </row>
    <row r="806">
      <c r="A806" s="105"/>
      <c r="C806" s="105"/>
      <c r="K806" s="106"/>
      <c r="P806" s="106"/>
    </row>
    <row r="807">
      <c r="A807" s="105"/>
      <c r="C807" s="105"/>
      <c r="K807" s="106"/>
      <c r="P807" s="106"/>
    </row>
    <row r="808">
      <c r="A808" s="105"/>
      <c r="C808" s="105"/>
      <c r="K808" s="106"/>
      <c r="P808" s="106"/>
    </row>
    <row r="809">
      <c r="A809" s="105"/>
      <c r="C809" s="105"/>
      <c r="K809" s="106"/>
      <c r="P809" s="106"/>
    </row>
    <row r="810">
      <c r="A810" s="105"/>
      <c r="C810" s="105"/>
      <c r="K810" s="106"/>
      <c r="P810" s="106"/>
    </row>
    <row r="811">
      <c r="A811" s="105"/>
      <c r="C811" s="105"/>
      <c r="K811" s="106"/>
      <c r="P811" s="106"/>
    </row>
    <row r="812">
      <c r="A812" s="105"/>
      <c r="C812" s="105"/>
      <c r="K812" s="106"/>
      <c r="P812" s="106"/>
    </row>
    <row r="813">
      <c r="A813" s="105"/>
      <c r="C813" s="105"/>
      <c r="K813" s="106"/>
      <c r="P813" s="106"/>
    </row>
    <row r="814">
      <c r="A814" s="105"/>
      <c r="C814" s="105"/>
      <c r="K814" s="106"/>
      <c r="P814" s="106"/>
    </row>
    <row r="815">
      <c r="A815" s="105"/>
      <c r="C815" s="105"/>
      <c r="K815" s="106"/>
      <c r="P815" s="106"/>
    </row>
    <row r="816">
      <c r="A816" s="105"/>
      <c r="C816" s="105"/>
      <c r="K816" s="106"/>
      <c r="P816" s="106"/>
    </row>
    <row r="817">
      <c r="A817" s="105"/>
      <c r="C817" s="105"/>
      <c r="K817" s="106"/>
      <c r="P817" s="106"/>
    </row>
    <row r="818">
      <c r="A818" s="105"/>
      <c r="C818" s="105"/>
      <c r="K818" s="106"/>
      <c r="P818" s="106"/>
    </row>
    <row r="819">
      <c r="A819" s="105"/>
      <c r="C819" s="105"/>
      <c r="K819" s="106"/>
      <c r="P819" s="106"/>
    </row>
    <row r="820">
      <c r="A820" s="105"/>
      <c r="C820" s="105"/>
      <c r="K820" s="106"/>
      <c r="P820" s="106"/>
    </row>
    <row r="821">
      <c r="A821" s="105"/>
      <c r="C821" s="105"/>
      <c r="K821" s="106"/>
      <c r="P821" s="106"/>
    </row>
    <row r="822">
      <c r="A822" s="105"/>
      <c r="C822" s="105"/>
      <c r="K822" s="106"/>
      <c r="P822" s="106"/>
    </row>
    <row r="823">
      <c r="A823" s="105"/>
      <c r="C823" s="105"/>
      <c r="K823" s="106"/>
      <c r="P823" s="106"/>
    </row>
    <row r="824">
      <c r="A824" s="105"/>
      <c r="C824" s="105"/>
      <c r="K824" s="106"/>
      <c r="P824" s="106"/>
    </row>
    <row r="825">
      <c r="A825" s="105"/>
      <c r="C825" s="105"/>
      <c r="K825" s="106"/>
      <c r="P825" s="106"/>
    </row>
    <row r="826">
      <c r="A826" s="105"/>
      <c r="C826" s="105"/>
      <c r="K826" s="106"/>
      <c r="P826" s="106"/>
    </row>
    <row r="827">
      <c r="A827" s="105"/>
      <c r="C827" s="105"/>
      <c r="K827" s="106"/>
      <c r="P827" s="106"/>
    </row>
    <row r="828">
      <c r="A828" s="105"/>
      <c r="C828" s="105"/>
      <c r="K828" s="106"/>
      <c r="P828" s="106"/>
    </row>
    <row r="829">
      <c r="A829" s="105"/>
      <c r="C829" s="105"/>
      <c r="K829" s="106"/>
      <c r="P829" s="106"/>
    </row>
    <row r="830">
      <c r="A830" s="105"/>
      <c r="C830" s="105"/>
      <c r="K830" s="106"/>
      <c r="P830" s="106"/>
    </row>
    <row r="831">
      <c r="A831" s="105"/>
      <c r="C831" s="105"/>
      <c r="K831" s="106"/>
      <c r="P831" s="106"/>
    </row>
    <row r="832">
      <c r="A832" s="105"/>
      <c r="C832" s="105"/>
      <c r="K832" s="106"/>
      <c r="P832" s="106"/>
    </row>
    <row r="833">
      <c r="A833" s="105"/>
      <c r="C833" s="105"/>
      <c r="K833" s="106"/>
      <c r="P833" s="106"/>
    </row>
    <row r="834">
      <c r="A834" s="105"/>
      <c r="C834" s="105"/>
      <c r="K834" s="106"/>
      <c r="P834" s="106"/>
    </row>
    <row r="835">
      <c r="A835" s="105"/>
      <c r="C835" s="105"/>
      <c r="K835" s="106"/>
      <c r="P835" s="106"/>
    </row>
    <row r="836">
      <c r="A836" s="105"/>
      <c r="C836" s="105"/>
      <c r="K836" s="106"/>
      <c r="P836" s="106"/>
    </row>
    <row r="837">
      <c r="A837" s="105"/>
      <c r="C837" s="105"/>
      <c r="K837" s="106"/>
      <c r="P837" s="106"/>
    </row>
    <row r="838">
      <c r="A838" s="105"/>
      <c r="C838" s="105"/>
      <c r="K838" s="106"/>
      <c r="P838" s="106"/>
    </row>
    <row r="839">
      <c r="A839" s="105"/>
      <c r="C839" s="105"/>
      <c r="K839" s="106"/>
      <c r="P839" s="106"/>
    </row>
    <row r="840">
      <c r="A840" s="105"/>
      <c r="C840" s="105"/>
      <c r="K840" s="106"/>
      <c r="P840" s="106"/>
    </row>
    <row r="841">
      <c r="A841" s="105"/>
      <c r="C841" s="105"/>
      <c r="K841" s="106"/>
      <c r="P841" s="106"/>
    </row>
    <row r="842">
      <c r="A842" s="105"/>
      <c r="C842" s="105"/>
      <c r="K842" s="106"/>
      <c r="P842" s="106"/>
    </row>
    <row r="843">
      <c r="A843" s="105"/>
      <c r="C843" s="105"/>
      <c r="K843" s="106"/>
      <c r="P843" s="106"/>
    </row>
    <row r="844">
      <c r="A844" s="105"/>
      <c r="C844" s="105"/>
      <c r="K844" s="106"/>
      <c r="P844" s="106"/>
    </row>
    <row r="845">
      <c r="A845" s="105"/>
      <c r="C845" s="105"/>
      <c r="K845" s="106"/>
      <c r="P845" s="106"/>
    </row>
    <row r="846">
      <c r="A846" s="105"/>
      <c r="C846" s="105"/>
      <c r="K846" s="106"/>
      <c r="P846" s="106"/>
    </row>
    <row r="847">
      <c r="A847" s="105"/>
      <c r="C847" s="105"/>
      <c r="K847" s="106"/>
      <c r="P847" s="106"/>
    </row>
    <row r="848">
      <c r="A848" s="105"/>
      <c r="C848" s="105"/>
      <c r="K848" s="106"/>
      <c r="P848" s="106"/>
    </row>
    <row r="849">
      <c r="A849" s="105"/>
      <c r="C849" s="105"/>
      <c r="K849" s="106"/>
      <c r="P849" s="106"/>
    </row>
    <row r="850">
      <c r="A850" s="105"/>
      <c r="C850" s="105"/>
      <c r="K850" s="106"/>
      <c r="P850" s="106"/>
    </row>
    <row r="851">
      <c r="A851" s="105"/>
      <c r="C851" s="105"/>
      <c r="K851" s="106"/>
      <c r="P851" s="106"/>
    </row>
    <row r="852">
      <c r="A852" s="105"/>
      <c r="C852" s="105"/>
      <c r="K852" s="106"/>
      <c r="P852" s="106"/>
    </row>
    <row r="853">
      <c r="A853" s="105"/>
      <c r="C853" s="105"/>
      <c r="K853" s="106"/>
      <c r="P853" s="106"/>
    </row>
    <row r="854">
      <c r="A854" s="105"/>
      <c r="C854" s="105"/>
      <c r="K854" s="106"/>
      <c r="P854" s="106"/>
    </row>
    <row r="855">
      <c r="A855" s="105"/>
      <c r="C855" s="105"/>
      <c r="K855" s="106"/>
      <c r="P855" s="106"/>
    </row>
    <row r="856">
      <c r="A856" s="105"/>
      <c r="C856" s="105"/>
      <c r="K856" s="106"/>
      <c r="P856" s="106"/>
    </row>
    <row r="857">
      <c r="A857" s="105"/>
      <c r="C857" s="105"/>
      <c r="K857" s="106"/>
      <c r="P857" s="106"/>
    </row>
    <row r="858">
      <c r="A858" s="105"/>
      <c r="C858" s="105"/>
      <c r="K858" s="106"/>
      <c r="P858" s="106"/>
    </row>
    <row r="859">
      <c r="A859" s="105"/>
      <c r="C859" s="105"/>
      <c r="K859" s="106"/>
      <c r="P859" s="106"/>
    </row>
    <row r="860">
      <c r="A860" s="105"/>
      <c r="C860" s="105"/>
      <c r="K860" s="106"/>
      <c r="P860" s="106"/>
    </row>
    <row r="861">
      <c r="A861" s="105"/>
      <c r="C861" s="105"/>
      <c r="K861" s="106"/>
      <c r="P861" s="106"/>
    </row>
    <row r="862">
      <c r="A862" s="105"/>
      <c r="C862" s="105"/>
      <c r="K862" s="106"/>
      <c r="P862" s="106"/>
    </row>
    <row r="863">
      <c r="A863" s="105"/>
      <c r="C863" s="105"/>
      <c r="K863" s="106"/>
      <c r="P863" s="106"/>
    </row>
    <row r="864">
      <c r="A864" s="105"/>
      <c r="C864" s="105"/>
      <c r="K864" s="106"/>
      <c r="P864" s="106"/>
    </row>
    <row r="865">
      <c r="A865" s="105"/>
      <c r="C865" s="105"/>
      <c r="K865" s="106"/>
      <c r="P865" s="106"/>
    </row>
    <row r="866">
      <c r="A866" s="105"/>
      <c r="C866" s="105"/>
      <c r="K866" s="106"/>
      <c r="P866" s="106"/>
    </row>
    <row r="867">
      <c r="A867" s="105"/>
      <c r="C867" s="105"/>
      <c r="K867" s="106"/>
      <c r="P867" s="106"/>
    </row>
    <row r="868">
      <c r="A868" s="105"/>
      <c r="C868" s="105"/>
      <c r="K868" s="106"/>
      <c r="P868" s="106"/>
    </row>
    <row r="869">
      <c r="A869" s="105"/>
      <c r="C869" s="105"/>
      <c r="K869" s="106"/>
      <c r="P869" s="106"/>
    </row>
    <row r="870">
      <c r="A870" s="105"/>
      <c r="C870" s="105"/>
      <c r="K870" s="106"/>
      <c r="P870" s="106"/>
    </row>
    <row r="871">
      <c r="A871" s="105"/>
      <c r="C871" s="105"/>
      <c r="K871" s="106"/>
      <c r="P871" s="106"/>
    </row>
    <row r="872">
      <c r="A872" s="105"/>
      <c r="C872" s="105"/>
      <c r="K872" s="106"/>
      <c r="P872" s="106"/>
    </row>
    <row r="873">
      <c r="A873" s="105"/>
      <c r="C873" s="105"/>
      <c r="K873" s="106"/>
      <c r="P873" s="106"/>
    </row>
    <row r="874">
      <c r="A874" s="105"/>
      <c r="C874" s="105"/>
      <c r="K874" s="106"/>
      <c r="P874" s="106"/>
    </row>
    <row r="875">
      <c r="A875" s="105"/>
      <c r="C875" s="105"/>
      <c r="K875" s="106"/>
      <c r="P875" s="106"/>
    </row>
    <row r="876">
      <c r="A876" s="105"/>
      <c r="C876" s="105"/>
      <c r="K876" s="106"/>
      <c r="P876" s="106"/>
    </row>
    <row r="877">
      <c r="A877" s="105"/>
      <c r="C877" s="105"/>
      <c r="K877" s="106"/>
      <c r="P877" s="106"/>
    </row>
    <row r="878">
      <c r="A878" s="105"/>
      <c r="C878" s="105"/>
      <c r="K878" s="106"/>
      <c r="P878" s="106"/>
    </row>
    <row r="879">
      <c r="A879" s="105"/>
      <c r="C879" s="105"/>
      <c r="K879" s="106"/>
      <c r="P879" s="106"/>
    </row>
    <row r="880">
      <c r="A880" s="105"/>
      <c r="C880" s="105"/>
      <c r="K880" s="106"/>
      <c r="P880" s="106"/>
    </row>
    <row r="881">
      <c r="A881" s="105"/>
      <c r="C881" s="105"/>
      <c r="K881" s="106"/>
      <c r="P881" s="106"/>
    </row>
    <row r="882">
      <c r="A882" s="105"/>
      <c r="C882" s="105"/>
      <c r="K882" s="106"/>
      <c r="P882" s="106"/>
    </row>
    <row r="883">
      <c r="A883" s="105"/>
      <c r="C883" s="105"/>
      <c r="K883" s="106"/>
      <c r="P883" s="106"/>
    </row>
    <row r="884">
      <c r="A884" s="105"/>
      <c r="C884" s="105"/>
      <c r="K884" s="106"/>
      <c r="P884" s="106"/>
    </row>
    <row r="885">
      <c r="A885" s="105"/>
      <c r="C885" s="105"/>
      <c r="K885" s="106"/>
      <c r="P885" s="106"/>
    </row>
    <row r="886">
      <c r="A886" s="105"/>
      <c r="C886" s="105"/>
      <c r="K886" s="106"/>
      <c r="P886" s="106"/>
    </row>
    <row r="887">
      <c r="A887" s="105"/>
      <c r="C887" s="105"/>
      <c r="K887" s="106"/>
      <c r="P887" s="106"/>
    </row>
    <row r="888">
      <c r="A888" s="105"/>
      <c r="C888" s="105"/>
      <c r="K888" s="106"/>
      <c r="P888" s="106"/>
    </row>
    <row r="889">
      <c r="A889" s="105"/>
      <c r="C889" s="105"/>
      <c r="K889" s="106"/>
      <c r="P889" s="106"/>
    </row>
    <row r="890">
      <c r="A890" s="105"/>
      <c r="C890" s="105"/>
      <c r="K890" s="106"/>
      <c r="P890" s="106"/>
    </row>
    <row r="891">
      <c r="A891" s="105"/>
      <c r="C891" s="105"/>
      <c r="K891" s="106"/>
      <c r="P891" s="106"/>
    </row>
    <row r="892">
      <c r="A892" s="105"/>
      <c r="C892" s="105"/>
      <c r="K892" s="106"/>
      <c r="P892" s="106"/>
    </row>
    <row r="893">
      <c r="A893" s="105"/>
      <c r="C893" s="105"/>
      <c r="K893" s="106"/>
      <c r="P893" s="106"/>
    </row>
    <row r="894">
      <c r="A894" s="105"/>
      <c r="C894" s="105"/>
      <c r="K894" s="106"/>
      <c r="P894" s="106"/>
    </row>
    <row r="895">
      <c r="A895" s="105"/>
      <c r="C895" s="105"/>
      <c r="K895" s="106"/>
      <c r="P895" s="106"/>
    </row>
    <row r="896">
      <c r="A896" s="105"/>
      <c r="C896" s="105"/>
      <c r="K896" s="106"/>
      <c r="P896" s="106"/>
    </row>
    <row r="897">
      <c r="A897" s="105"/>
      <c r="C897" s="105"/>
      <c r="K897" s="106"/>
      <c r="P897" s="106"/>
    </row>
    <row r="898">
      <c r="A898" s="105"/>
      <c r="C898" s="105"/>
      <c r="K898" s="106"/>
      <c r="P898" s="106"/>
    </row>
    <row r="899">
      <c r="A899" s="105"/>
      <c r="C899" s="105"/>
      <c r="K899" s="106"/>
      <c r="P899" s="106"/>
    </row>
    <row r="900">
      <c r="A900" s="105"/>
      <c r="C900" s="105"/>
      <c r="K900" s="106"/>
      <c r="P900" s="106"/>
    </row>
    <row r="901">
      <c r="A901" s="105"/>
      <c r="C901" s="105"/>
      <c r="K901" s="106"/>
      <c r="P901" s="106"/>
    </row>
    <row r="902">
      <c r="A902" s="105"/>
      <c r="C902" s="105"/>
      <c r="K902" s="106"/>
      <c r="P902" s="106"/>
    </row>
    <row r="903">
      <c r="A903" s="105"/>
      <c r="C903" s="105"/>
      <c r="K903" s="106"/>
      <c r="P903" s="106"/>
    </row>
    <row r="904">
      <c r="A904" s="105"/>
      <c r="C904" s="105"/>
      <c r="K904" s="106"/>
      <c r="P904" s="106"/>
    </row>
    <row r="905">
      <c r="A905" s="105"/>
      <c r="C905" s="105"/>
      <c r="K905" s="106"/>
      <c r="P905" s="106"/>
    </row>
    <row r="906">
      <c r="A906" s="105"/>
      <c r="C906" s="105"/>
      <c r="K906" s="106"/>
      <c r="P906" s="106"/>
    </row>
    <row r="907">
      <c r="A907" s="105"/>
      <c r="C907" s="105"/>
      <c r="K907" s="106"/>
      <c r="P907" s="106"/>
    </row>
    <row r="908">
      <c r="A908" s="105"/>
      <c r="C908" s="105"/>
      <c r="K908" s="106"/>
      <c r="P908" s="106"/>
    </row>
    <row r="909">
      <c r="A909" s="105"/>
      <c r="C909" s="105"/>
      <c r="K909" s="106"/>
      <c r="P909" s="106"/>
    </row>
    <row r="910">
      <c r="A910" s="105"/>
      <c r="C910" s="105"/>
      <c r="K910" s="106"/>
      <c r="P910" s="106"/>
    </row>
    <row r="911">
      <c r="A911" s="105"/>
      <c r="C911" s="105"/>
      <c r="K911" s="106"/>
      <c r="P911" s="106"/>
    </row>
    <row r="912">
      <c r="A912" s="105"/>
      <c r="C912" s="105"/>
      <c r="K912" s="106"/>
      <c r="P912" s="106"/>
    </row>
    <row r="913">
      <c r="A913" s="105"/>
      <c r="C913" s="105"/>
      <c r="K913" s="106"/>
      <c r="P913" s="106"/>
    </row>
    <row r="914">
      <c r="A914" s="105"/>
      <c r="C914" s="105"/>
      <c r="K914" s="106"/>
      <c r="P914" s="106"/>
    </row>
    <row r="915">
      <c r="A915" s="105"/>
      <c r="C915" s="105"/>
      <c r="K915" s="106"/>
      <c r="P915" s="106"/>
    </row>
    <row r="916">
      <c r="A916" s="105"/>
      <c r="C916" s="105"/>
      <c r="K916" s="106"/>
      <c r="P916" s="106"/>
    </row>
    <row r="917">
      <c r="A917" s="105"/>
      <c r="C917" s="105"/>
      <c r="K917" s="106"/>
      <c r="P917" s="106"/>
    </row>
    <row r="918">
      <c r="A918" s="105"/>
      <c r="C918" s="105"/>
      <c r="K918" s="106"/>
      <c r="P918" s="106"/>
    </row>
    <row r="919">
      <c r="A919" s="105"/>
      <c r="C919" s="105"/>
      <c r="K919" s="106"/>
      <c r="P919" s="106"/>
    </row>
    <row r="920">
      <c r="A920" s="105"/>
      <c r="C920" s="105"/>
      <c r="K920" s="106"/>
      <c r="P920" s="106"/>
    </row>
    <row r="921">
      <c r="A921" s="105"/>
      <c r="C921" s="105"/>
      <c r="K921" s="106"/>
      <c r="P921" s="106"/>
    </row>
    <row r="922">
      <c r="A922" s="105"/>
      <c r="C922" s="105"/>
      <c r="K922" s="106"/>
      <c r="P922" s="106"/>
    </row>
    <row r="923">
      <c r="A923" s="105"/>
      <c r="C923" s="105"/>
      <c r="K923" s="106"/>
      <c r="P923" s="106"/>
    </row>
    <row r="924">
      <c r="A924" s="105"/>
      <c r="C924" s="105"/>
      <c r="K924" s="106"/>
      <c r="P924" s="106"/>
    </row>
    <row r="925">
      <c r="A925" s="105"/>
      <c r="C925" s="105"/>
      <c r="K925" s="106"/>
      <c r="P925" s="106"/>
    </row>
    <row r="926">
      <c r="A926" s="105"/>
      <c r="C926" s="105"/>
      <c r="K926" s="106"/>
      <c r="P926" s="106"/>
    </row>
    <row r="927">
      <c r="A927" s="105"/>
      <c r="C927" s="105"/>
      <c r="K927" s="106"/>
      <c r="P927" s="106"/>
    </row>
    <row r="928">
      <c r="A928" s="105"/>
      <c r="C928" s="105"/>
      <c r="K928" s="106"/>
      <c r="P928" s="106"/>
    </row>
    <row r="929">
      <c r="A929" s="105"/>
      <c r="C929" s="105"/>
      <c r="K929" s="106"/>
      <c r="P929" s="106"/>
    </row>
    <row r="930">
      <c r="A930" s="105"/>
      <c r="C930" s="105"/>
      <c r="K930" s="106"/>
      <c r="P930" s="106"/>
    </row>
    <row r="931">
      <c r="A931" s="105"/>
      <c r="C931" s="105"/>
      <c r="K931" s="106"/>
      <c r="P931" s="106"/>
    </row>
    <row r="932">
      <c r="A932" s="105"/>
      <c r="C932" s="105"/>
      <c r="K932" s="106"/>
      <c r="P932" s="106"/>
    </row>
    <row r="933">
      <c r="A933" s="105"/>
      <c r="C933" s="105"/>
      <c r="K933" s="106"/>
      <c r="P933" s="106"/>
    </row>
    <row r="934">
      <c r="A934" s="105"/>
      <c r="C934" s="105"/>
      <c r="K934" s="106"/>
      <c r="P934" s="106"/>
    </row>
    <row r="935">
      <c r="A935" s="105"/>
      <c r="C935" s="105"/>
      <c r="K935" s="106"/>
      <c r="P935" s="106"/>
    </row>
    <row r="936">
      <c r="A936" s="105"/>
      <c r="C936" s="105"/>
      <c r="K936" s="106"/>
      <c r="P936" s="106"/>
    </row>
    <row r="937">
      <c r="A937" s="105"/>
      <c r="C937" s="105"/>
      <c r="K937" s="106"/>
      <c r="P937" s="106"/>
    </row>
    <row r="938">
      <c r="A938" s="105"/>
      <c r="C938" s="105"/>
      <c r="K938" s="106"/>
      <c r="P938" s="106"/>
    </row>
    <row r="939">
      <c r="A939" s="105"/>
      <c r="C939" s="105"/>
      <c r="K939" s="106"/>
      <c r="P939" s="106"/>
    </row>
    <row r="940">
      <c r="A940" s="105"/>
      <c r="C940" s="105"/>
      <c r="K940" s="106"/>
      <c r="P940" s="106"/>
    </row>
    <row r="941">
      <c r="A941" s="105"/>
      <c r="C941" s="105"/>
      <c r="K941" s="106"/>
      <c r="P941" s="106"/>
    </row>
    <row r="942">
      <c r="A942" s="105"/>
      <c r="C942" s="105"/>
      <c r="K942" s="106"/>
      <c r="P942" s="106"/>
    </row>
    <row r="943">
      <c r="A943" s="105"/>
      <c r="C943" s="105"/>
      <c r="K943" s="106"/>
      <c r="P943" s="106"/>
    </row>
    <row r="944">
      <c r="A944" s="105"/>
      <c r="C944" s="105"/>
      <c r="K944" s="106"/>
      <c r="P944" s="106"/>
    </row>
    <row r="945">
      <c r="A945" s="105"/>
      <c r="C945" s="105"/>
      <c r="K945" s="106"/>
      <c r="P945" s="106"/>
    </row>
    <row r="946">
      <c r="A946" s="105"/>
      <c r="C946" s="105"/>
      <c r="K946" s="106"/>
      <c r="P946" s="106"/>
    </row>
    <row r="947">
      <c r="A947" s="105"/>
      <c r="C947" s="105"/>
      <c r="K947" s="106"/>
      <c r="P947" s="106"/>
    </row>
    <row r="948">
      <c r="A948" s="105"/>
      <c r="C948" s="105"/>
      <c r="K948" s="106"/>
      <c r="P948" s="106"/>
    </row>
    <row r="949">
      <c r="A949" s="105"/>
      <c r="C949" s="105"/>
      <c r="K949" s="106"/>
      <c r="P949" s="106"/>
    </row>
    <row r="950">
      <c r="A950" s="105"/>
      <c r="C950" s="105"/>
      <c r="K950" s="106"/>
      <c r="P950" s="106"/>
    </row>
    <row r="951">
      <c r="A951" s="105"/>
      <c r="C951" s="105"/>
      <c r="K951" s="106"/>
      <c r="P951" s="106"/>
    </row>
    <row r="952">
      <c r="A952" s="105"/>
      <c r="C952" s="105"/>
      <c r="K952" s="106"/>
      <c r="P952" s="106"/>
    </row>
    <row r="953">
      <c r="A953" s="105"/>
      <c r="C953" s="105"/>
      <c r="K953" s="106"/>
      <c r="P953" s="106"/>
    </row>
    <row r="954">
      <c r="A954" s="105"/>
      <c r="C954" s="105"/>
      <c r="K954" s="106"/>
      <c r="P954" s="106"/>
    </row>
    <row r="955">
      <c r="A955" s="105"/>
      <c r="C955" s="105"/>
      <c r="K955" s="106"/>
      <c r="P955" s="106"/>
    </row>
    <row r="956">
      <c r="A956" s="105"/>
      <c r="C956" s="105"/>
      <c r="K956" s="106"/>
      <c r="P956" s="106"/>
    </row>
    <row r="957">
      <c r="A957" s="105"/>
      <c r="C957" s="105"/>
      <c r="K957" s="106"/>
      <c r="P957" s="106"/>
    </row>
    <row r="958">
      <c r="A958" s="105"/>
      <c r="C958" s="105"/>
      <c r="K958" s="106"/>
      <c r="P958" s="106"/>
    </row>
    <row r="959">
      <c r="A959" s="105"/>
      <c r="C959" s="105"/>
      <c r="K959" s="106"/>
      <c r="P959" s="106"/>
    </row>
    <row r="960">
      <c r="A960" s="105"/>
      <c r="C960" s="105"/>
      <c r="K960" s="106"/>
      <c r="P960" s="106"/>
    </row>
    <row r="961">
      <c r="A961" s="105"/>
      <c r="C961" s="105"/>
      <c r="K961" s="106"/>
      <c r="P961" s="106"/>
    </row>
    <row r="962">
      <c r="A962" s="105"/>
      <c r="C962" s="105"/>
      <c r="K962" s="106"/>
      <c r="P962" s="106"/>
    </row>
    <row r="963">
      <c r="A963" s="105"/>
      <c r="C963" s="105"/>
      <c r="K963" s="106"/>
      <c r="P963" s="106"/>
    </row>
    <row r="964">
      <c r="A964" s="105"/>
      <c r="C964" s="105"/>
      <c r="K964" s="106"/>
      <c r="P964" s="106"/>
    </row>
    <row r="965">
      <c r="A965" s="105"/>
      <c r="C965" s="105"/>
      <c r="K965" s="106"/>
      <c r="P965" s="106"/>
    </row>
    <row r="966">
      <c r="A966" s="105"/>
      <c r="C966" s="105"/>
      <c r="K966" s="106"/>
      <c r="P966" s="106"/>
    </row>
    <row r="967">
      <c r="A967" s="105"/>
      <c r="C967" s="105"/>
      <c r="K967" s="106"/>
      <c r="P967" s="106"/>
    </row>
    <row r="968">
      <c r="A968" s="105"/>
      <c r="C968" s="105"/>
      <c r="K968" s="106"/>
      <c r="P968" s="106"/>
    </row>
    <row r="969">
      <c r="A969" s="105"/>
      <c r="C969" s="105"/>
      <c r="K969" s="106"/>
      <c r="P969" s="106"/>
    </row>
    <row r="970">
      <c r="A970" s="105"/>
      <c r="C970" s="105"/>
      <c r="K970" s="106"/>
      <c r="P970" s="106"/>
    </row>
    <row r="971">
      <c r="A971" s="105"/>
      <c r="C971" s="105"/>
      <c r="K971" s="106"/>
      <c r="P971" s="106"/>
    </row>
    <row r="972">
      <c r="A972" s="105"/>
      <c r="C972" s="105"/>
      <c r="K972" s="106"/>
      <c r="P972" s="106"/>
    </row>
    <row r="973">
      <c r="A973" s="105"/>
      <c r="C973" s="105"/>
      <c r="K973" s="106"/>
      <c r="P973" s="106"/>
    </row>
    <row r="974">
      <c r="A974" s="105"/>
      <c r="C974" s="105"/>
      <c r="K974" s="106"/>
      <c r="P974" s="106"/>
    </row>
    <row r="975">
      <c r="A975" s="105"/>
      <c r="C975" s="105"/>
      <c r="K975" s="106"/>
      <c r="P975" s="106"/>
    </row>
    <row r="976">
      <c r="A976" s="105"/>
      <c r="C976" s="105"/>
      <c r="K976" s="106"/>
      <c r="P976" s="106"/>
    </row>
    <row r="977">
      <c r="A977" s="105"/>
      <c r="C977" s="105"/>
      <c r="K977" s="106"/>
      <c r="P977" s="106"/>
    </row>
    <row r="978">
      <c r="A978" s="105"/>
      <c r="C978" s="105"/>
      <c r="K978" s="106"/>
      <c r="P978" s="106"/>
    </row>
    <row r="979">
      <c r="A979" s="105"/>
      <c r="C979" s="105"/>
      <c r="K979" s="106"/>
      <c r="P979" s="106"/>
    </row>
    <row r="980">
      <c r="A980" s="105"/>
      <c r="C980" s="105"/>
      <c r="K980" s="106"/>
      <c r="P980" s="106"/>
    </row>
    <row r="981">
      <c r="A981" s="105"/>
      <c r="C981" s="105"/>
      <c r="K981" s="106"/>
      <c r="P981" s="106"/>
    </row>
    <row r="982">
      <c r="A982" s="105"/>
      <c r="C982" s="105"/>
      <c r="K982" s="106"/>
      <c r="P982" s="106"/>
    </row>
    <row r="983">
      <c r="A983" s="105"/>
      <c r="C983" s="105"/>
      <c r="K983" s="106"/>
      <c r="P983" s="106"/>
    </row>
    <row r="984">
      <c r="A984" s="105"/>
      <c r="C984" s="105"/>
      <c r="K984" s="106"/>
      <c r="P984" s="106"/>
    </row>
    <row r="985">
      <c r="A985" s="105"/>
      <c r="C985" s="105"/>
      <c r="K985" s="106"/>
      <c r="P985" s="106"/>
    </row>
    <row r="986">
      <c r="A986" s="105"/>
      <c r="C986" s="105"/>
      <c r="K986" s="106"/>
      <c r="P986" s="106"/>
    </row>
    <row r="987">
      <c r="A987" s="105"/>
      <c r="C987" s="105"/>
      <c r="K987" s="106"/>
      <c r="P987" s="106"/>
    </row>
    <row r="988">
      <c r="A988" s="105"/>
      <c r="C988" s="105"/>
      <c r="K988" s="106"/>
      <c r="P988" s="106"/>
    </row>
    <row r="989">
      <c r="A989" s="105"/>
      <c r="C989" s="105"/>
      <c r="K989" s="106"/>
      <c r="P989" s="106"/>
    </row>
    <row r="990">
      <c r="A990" s="105"/>
      <c r="C990" s="105"/>
      <c r="K990" s="106"/>
      <c r="P990" s="106"/>
    </row>
    <row r="991">
      <c r="A991" s="105"/>
      <c r="C991" s="105"/>
      <c r="K991" s="106"/>
      <c r="P991" s="106"/>
    </row>
    <row r="992">
      <c r="A992" s="105"/>
      <c r="C992" s="105"/>
      <c r="K992" s="106"/>
      <c r="P992" s="106"/>
    </row>
    <row r="993">
      <c r="A993" s="105"/>
      <c r="C993" s="105"/>
      <c r="K993" s="106"/>
      <c r="P993" s="106"/>
    </row>
    <row r="994">
      <c r="A994" s="105"/>
      <c r="C994" s="105"/>
      <c r="K994" s="106"/>
      <c r="P994" s="106"/>
    </row>
    <row r="995">
      <c r="A995" s="105"/>
      <c r="C995" s="105"/>
      <c r="K995" s="106"/>
      <c r="P995" s="106"/>
    </row>
    <row r="996">
      <c r="A996" s="105"/>
      <c r="C996" s="105"/>
      <c r="K996" s="106"/>
      <c r="P996" s="106"/>
    </row>
    <row r="997">
      <c r="A997" s="105"/>
      <c r="C997" s="105"/>
      <c r="K997" s="106"/>
      <c r="P997" s="106"/>
    </row>
    <row r="998">
      <c r="A998" s="105"/>
      <c r="C998" s="105"/>
      <c r="K998" s="106"/>
      <c r="P998" s="106"/>
    </row>
    <row r="999">
      <c r="A999" s="105"/>
      <c r="C999" s="105"/>
      <c r="K999" s="106"/>
      <c r="P999" s="106"/>
    </row>
    <row r="1000">
      <c r="A1000" s="105"/>
      <c r="C1000" s="105"/>
      <c r="K1000" s="106"/>
      <c r="P1000" s="106"/>
    </row>
    <row r="1001">
      <c r="A1001" s="105"/>
      <c r="C1001" s="105"/>
      <c r="K1001" s="106"/>
      <c r="P1001" s="106"/>
    </row>
    <row r="1002">
      <c r="A1002" s="105"/>
      <c r="C1002" s="105"/>
      <c r="K1002" s="106"/>
      <c r="P1002" s="106"/>
    </row>
    <row r="1003">
      <c r="A1003" s="105"/>
      <c r="C1003" s="105"/>
      <c r="K1003" s="106"/>
      <c r="P1003" s="106"/>
    </row>
    <row r="1004">
      <c r="A1004" s="105"/>
      <c r="C1004" s="105"/>
      <c r="K1004" s="106"/>
      <c r="P1004" s="106"/>
    </row>
    <row r="1005">
      <c r="A1005" s="105"/>
      <c r="C1005" s="105"/>
      <c r="K1005" s="106"/>
      <c r="P1005" s="106"/>
    </row>
    <row r="1006">
      <c r="A1006" s="105"/>
      <c r="C1006" s="105"/>
      <c r="K1006" s="106"/>
      <c r="P1006" s="106"/>
    </row>
    <row r="1007">
      <c r="A1007" s="105"/>
      <c r="C1007" s="105"/>
      <c r="K1007" s="106"/>
      <c r="P1007" s="106"/>
    </row>
    <row r="1008">
      <c r="A1008" s="105"/>
      <c r="C1008" s="105"/>
      <c r="K1008" s="106"/>
      <c r="P1008" s="106"/>
    </row>
    <row r="1009">
      <c r="A1009" s="105"/>
      <c r="C1009" s="105"/>
      <c r="K1009" s="106"/>
      <c r="P1009" s="106"/>
    </row>
    <row r="1010">
      <c r="A1010" s="105"/>
      <c r="C1010" s="105"/>
      <c r="K1010" s="106"/>
      <c r="P1010" s="106"/>
    </row>
    <row r="1011">
      <c r="A1011" s="105"/>
      <c r="C1011" s="105"/>
      <c r="K1011" s="106"/>
      <c r="P1011" s="106"/>
    </row>
    <row r="1012">
      <c r="A1012" s="105"/>
      <c r="C1012" s="105"/>
      <c r="K1012" s="106"/>
      <c r="P1012" s="106"/>
    </row>
    <row r="1013">
      <c r="A1013" s="105"/>
      <c r="C1013" s="105"/>
      <c r="K1013" s="106"/>
      <c r="P1013" s="106"/>
    </row>
    <row r="1014">
      <c r="A1014" s="105"/>
      <c r="C1014" s="105"/>
      <c r="K1014" s="106"/>
      <c r="P1014" s="106"/>
    </row>
    <row r="1015">
      <c r="A1015" s="105"/>
      <c r="C1015" s="105"/>
      <c r="K1015" s="106"/>
      <c r="P1015" s="106"/>
    </row>
    <row r="1016">
      <c r="A1016" s="105"/>
      <c r="C1016" s="105"/>
      <c r="K1016" s="106"/>
      <c r="P1016" s="106"/>
    </row>
    <row r="1017">
      <c r="A1017" s="105"/>
      <c r="C1017" s="105"/>
      <c r="K1017" s="106"/>
      <c r="P1017" s="106"/>
    </row>
    <row r="1018">
      <c r="A1018" s="105"/>
      <c r="C1018" s="105"/>
      <c r="K1018" s="106"/>
      <c r="P1018" s="106"/>
    </row>
    <row r="1019">
      <c r="A1019" s="105"/>
      <c r="C1019" s="105"/>
      <c r="K1019" s="106"/>
      <c r="P1019" s="106"/>
    </row>
    <row r="1020">
      <c r="A1020" s="105"/>
      <c r="C1020" s="105"/>
      <c r="K1020" s="106"/>
      <c r="P1020" s="106"/>
    </row>
    <row r="1021">
      <c r="A1021" s="105"/>
      <c r="C1021" s="105"/>
      <c r="K1021" s="106"/>
      <c r="P1021" s="106"/>
    </row>
    <row r="1022">
      <c r="A1022" s="105"/>
      <c r="C1022" s="105"/>
      <c r="K1022" s="106"/>
      <c r="P1022" s="106"/>
    </row>
    <row r="1023">
      <c r="A1023" s="105"/>
      <c r="C1023" s="105"/>
      <c r="K1023" s="106"/>
      <c r="P1023" s="106"/>
    </row>
    <row r="1024">
      <c r="A1024" s="105"/>
      <c r="C1024" s="105"/>
      <c r="K1024" s="106"/>
      <c r="P1024" s="106"/>
    </row>
    <row r="1025">
      <c r="A1025" s="105"/>
      <c r="C1025" s="105"/>
      <c r="K1025" s="106"/>
      <c r="P1025" s="106"/>
    </row>
    <row r="1026">
      <c r="A1026" s="105"/>
      <c r="C1026" s="105"/>
      <c r="K1026" s="106"/>
      <c r="P1026" s="106"/>
    </row>
    <row r="1027">
      <c r="A1027" s="105"/>
      <c r="C1027" s="105"/>
      <c r="K1027" s="106"/>
      <c r="P1027" s="106"/>
    </row>
    <row r="1028">
      <c r="A1028" s="105"/>
      <c r="C1028" s="105"/>
      <c r="K1028" s="106"/>
      <c r="P1028" s="106"/>
    </row>
    <row r="1029">
      <c r="A1029" s="105"/>
      <c r="C1029" s="105"/>
      <c r="K1029" s="106"/>
      <c r="P1029" s="106"/>
    </row>
    <row r="1030">
      <c r="A1030" s="105"/>
      <c r="C1030" s="105"/>
      <c r="K1030" s="106"/>
      <c r="P1030" s="106"/>
    </row>
    <row r="1031">
      <c r="A1031" s="105"/>
      <c r="C1031" s="105"/>
      <c r="K1031" s="106"/>
      <c r="P1031" s="106"/>
    </row>
    <row r="1032">
      <c r="A1032" s="105"/>
      <c r="C1032" s="105"/>
      <c r="K1032" s="106"/>
      <c r="P1032" s="106"/>
    </row>
    <row r="1033">
      <c r="A1033" s="105"/>
      <c r="C1033" s="105"/>
      <c r="K1033" s="106"/>
      <c r="P1033" s="106"/>
    </row>
    <row r="1034">
      <c r="A1034" s="105"/>
      <c r="C1034" s="105"/>
      <c r="K1034" s="106"/>
      <c r="P1034" s="106"/>
    </row>
    <row r="1035">
      <c r="A1035" s="105"/>
      <c r="C1035" s="105"/>
      <c r="K1035" s="106"/>
      <c r="P1035" s="106"/>
    </row>
    <row r="1036">
      <c r="A1036" s="105"/>
      <c r="C1036" s="105"/>
      <c r="K1036" s="106"/>
      <c r="P1036" s="106"/>
    </row>
    <row r="1037">
      <c r="A1037" s="105"/>
      <c r="C1037" s="105"/>
      <c r="K1037" s="106"/>
      <c r="P1037" s="106"/>
    </row>
    <row r="1038">
      <c r="A1038" s="105"/>
      <c r="C1038" s="105"/>
      <c r="K1038" s="106"/>
      <c r="P1038" s="106"/>
    </row>
    <row r="1039">
      <c r="A1039" s="105"/>
      <c r="C1039" s="105"/>
      <c r="K1039" s="106"/>
      <c r="P1039" s="106"/>
    </row>
    <row r="1040">
      <c r="A1040" s="105"/>
      <c r="C1040" s="105"/>
      <c r="K1040" s="106"/>
      <c r="P1040" s="106"/>
    </row>
    <row r="1041">
      <c r="A1041" s="105"/>
      <c r="C1041" s="105"/>
      <c r="K1041" s="106"/>
      <c r="P1041" s="106"/>
    </row>
    <row r="1042">
      <c r="A1042" s="105"/>
      <c r="C1042" s="105"/>
      <c r="K1042" s="106"/>
      <c r="P1042" s="106"/>
    </row>
    <row r="1043">
      <c r="A1043" s="105"/>
      <c r="C1043" s="105"/>
      <c r="K1043" s="106"/>
      <c r="P1043" s="106"/>
    </row>
    <row r="1044">
      <c r="A1044" s="105"/>
      <c r="C1044" s="105"/>
      <c r="K1044" s="106"/>
      <c r="P1044" s="106"/>
    </row>
    <row r="1045">
      <c r="A1045" s="105"/>
      <c r="C1045" s="105"/>
      <c r="K1045" s="106"/>
      <c r="P1045" s="106"/>
    </row>
    <row r="1046">
      <c r="A1046" s="105"/>
      <c r="C1046" s="105"/>
      <c r="K1046" s="106"/>
      <c r="P1046" s="106"/>
    </row>
    <row r="1047">
      <c r="A1047" s="105"/>
      <c r="C1047" s="105"/>
      <c r="K1047" s="106"/>
      <c r="P1047" s="106"/>
    </row>
    <row r="1048">
      <c r="A1048" s="105"/>
      <c r="C1048" s="105"/>
      <c r="K1048" s="106"/>
      <c r="P1048" s="106"/>
    </row>
    <row r="1049">
      <c r="A1049" s="105"/>
      <c r="C1049" s="105"/>
      <c r="K1049" s="106"/>
      <c r="P1049" s="106"/>
    </row>
    <row r="1050">
      <c r="A1050" s="105"/>
      <c r="C1050" s="105"/>
      <c r="K1050" s="106"/>
      <c r="P1050" s="106"/>
    </row>
    <row r="1051">
      <c r="A1051" s="105"/>
      <c r="C1051" s="105"/>
      <c r="K1051" s="106"/>
      <c r="P1051" s="106"/>
    </row>
    <row r="1052">
      <c r="A1052" s="105"/>
      <c r="C1052" s="105"/>
      <c r="K1052" s="106"/>
      <c r="P1052" s="106"/>
    </row>
    <row r="1053">
      <c r="A1053" s="105"/>
      <c r="C1053" s="105"/>
      <c r="K1053" s="106"/>
      <c r="P1053" s="106"/>
    </row>
    <row r="1054">
      <c r="A1054" s="105"/>
      <c r="C1054" s="105"/>
      <c r="K1054" s="106"/>
      <c r="P1054" s="106"/>
    </row>
    <row r="1055">
      <c r="A1055" s="105"/>
      <c r="C1055" s="105"/>
      <c r="K1055" s="106"/>
      <c r="P1055" s="106"/>
    </row>
    <row r="1056">
      <c r="A1056" s="105"/>
      <c r="C1056" s="105"/>
      <c r="K1056" s="106"/>
      <c r="P1056" s="106"/>
    </row>
    <row r="1057">
      <c r="A1057" s="105"/>
      <c r="C1057" s="105"/>
      <c r="K1057" s="106"/>
      <c r="P1057" s="106"/>
    </row>
    <row r="1058">
      <c r="A1058" s="105"/>
      <c r="C1058" s="105"/>
      <c r="K1058" s="106"/>
      <c r="P1058" s="106"/>
    </row>
    <row r="1059">
      <c r="A1059" s="105"/>
      <c r="C1059" s="105"/>
      <c r="K1059" s="106"/>
      <c r="P1059" s="106"/>
    </row>
    <row r="1060">
      <c r="A1060" s="105"/>
      <c r="C1060" s="105"/>
      <c r="K1060" s="106"/>
      <c r="P1060" s="106"/>
    </row>
    <row r="1061">
      <c r="A1061" s="105"/>
      <c r="C1061" s="105"/>
      <c r="K1061" s="106"/>
      <c r="P1061" s="106"/>
    </row>
    <row r="1062">
      <c r="A1062" s="105"/>
      <c r="C1062" s="105"/>
      <c r="K1062" s="106"/>
      <c r="P1062" s="106"/>
    </row>
    <row r="1063">
      <c r="A1063" s="105"/>
      <c r="C1063" s="105"/>
      <c r="K1063" s="106"/>
      <c r="P1063" s="106"/>
    </row>
    <row r="1064">
      <c r="A1064" s="105"/>
      <c r="C1064" s="105"/>
      <c r="K1064" s="106"/>
      <c r="P1064" s="106"/>
    </row>
    <row r="1065">
      <c r="A1065" s="105"/>
      <c r="C1065" s="105"/>
      <c r="K1065" s="106"/>
      <c r="P1065" s="106"/>
    </row>
    <row r="1066">
      <c r="A1066" s="105"/>
      <c r="C1066" s="105"/>
      <c r="K1066" s="106"/>
      <c r="P1066" s="106"/>
    </row>
    <row r="1067">
      <c r="A1067" s="105"/>
      <c r="C1067" s="105"/>
      <c r="K1067" s="106"/>
      <c r="P1067" s="106"/>
    </row>
    <row r="1068">
      <c r="A1068" s="105"/>
      <c r="C1068" s="105"/>
      <c r="K1068" s="106"/>
      <c r="P1068" s="106"/>
    </row>
    <row r="1069">
      <c r="A1069" s="105"/>
      <c r="C1069" s="105"/>
      <c r="K1069" s="106"/>
      <c r="P1069" s="106"/>
    </row>
    <row r="1070">
      <c r="A1070" s="105"/>
      <c r="C1070" s="105"/>
      <c r="K1070" s="106"/>
      <c r="P1070" s="106"/>
    </row>
    <row r="1071">
      <c r="A1071" s="105"/>
      <c r="C1071" s="105"/>
      <c r="K1071" s="106"/>
      <c r="P1071" s="106"/>
    </row>
    <row r="1072">
      <c r="A1072" s="105"/>
      <c r="C1072" s="105"/>
      <c r="K1072" s="106"/>
      <c r="P1072" s="106"/>
    </row>
    <row r="1073">
      <c r="A1073" s="105"/>
      <c r="C1073" s="105"/>
      <c r="K1073" s="106"/>
      <c r="P1073" s="106"/>
    </row>
    <row r="1074">
      <c r="A1074" s="105"/>
      <c r="C1074" s="105"/>
      <c r="K1074" s="106"/>
      <c r="P1074" s="106"/>
    </row>
    <row r="1075">
      <c r="A1075" s="105"/>
      <c r="C1075" s="105"/>
      <c r="K1075" s="106"/>
      <c r="P1075" s="106"/>
    </row>
    <row r="1076">
      <c r="A1076" s="105"/>
      <c r="C1076" s="105"/>
      <c r="K1076" s="106"/>
      <c r="P1076" s="106"/>
    </row>
    <row r="1077">
      <c r="A1077" s="105"/>
      <c r="C1077" s="105"/>
      <c r="K1077" s="106"/>
      <c r="P1077" s="106"/>
    </row>
    <row r="1078">
      <c r="A1078" s="105"/>
      <c r="C1078" s="105"/>
      <c r="K1078" s="106"/>
      <c r="P1078" s="106"/>
    </row>
    <row r="1079">
      <c r="A1079" s="105"/>
      <c r="C1079" s="105"/>
      <c r="K1079" s="106"/>
      <c r="P1079" s="106"/>
    </row>
    <row r="1080">
      <c r="A1080" s="105"/>
      <c r="C1080" s="105"/>
      <c r="K1080" s="106"/>
      <c r="P1080" s="106"/>
    </row>
    <row r="1081">
      <c r="A1081" s="105"/>
      <c r="C1081" s="105"/>
      <c r="K1081" s="106"/>
      <c r="P1081" s="106"/>
    </row>
    <row r="1082">
      <c r="A1082" s="105"/>
      <c r="C1082" s="105"/>
      <c r="K1082" s="106"/>
      <c r="P1082" s="106"/>
    </row>
    <row r="1083">
      <c r="A1083" s="105"/>
      <c r="C1083" s="105"/>
      <c r="K1083" s="106"/>
      <c r="P1083" s="106"/>
    </row>
    <row r="1084">
      <c r="A1084" s="105"/>
      <c r="C1084" s="105"/>
      <c r="K1084" s="106"/>
      <c r="P1084" s="106"/>
    </row>
    <row r="1085">
      <c r="A1085" s="105"/>
      <c r="C1085" s="105"/>
      <c r="K1085" s="106"/>
      <c r="P1085" s="106"/>
    </row>
    <row r="1086">
      <c r="A1086" s="105"/>
      <c r="C1086" s="105"/>
      <c r="K1086" s="106"/>
      <c r="P1086" s="106"/>
    </row>
    <row r="1087">
      <c r="A1087" s="105"/>
      <c r="C1087" s="105"/>
      <c r="K1087" s="106"/>
      <c r="P1087" s="106"/>
    </row>
    <row r="1088">
      <c r="A1088" s="105"/>
      <c r="C1088" s="105"/>
      <c r="K1088" s="106"/>
      <c r="P1088" s="106"/>
    </row>
    <row r="1089">
      <c r="A1089" s="105"/>
      <c r="C1089" s="105"/>
      <c r="K1089" s="106"/>
      <c r="P1089" s="106"/>
    </row>
    <row r="1090">
      <c r="A1090" s="105"/>
      <c r="C1090" s="105"/>
      <c r="K1090" s="106"/>
      <c r="P1090" s="106"/>
    </row>
    <row r="1091">
      <c r="A1091" s="105"/>
      <c r="C1091" s="105"/>
      <c r="K1091" s="106"/>
      <c r="P1091" s="106"/>
    </row>
    <row r="1092">
      <c r="A1092" s="105"/>
      <c r="C1092" s="105"/>
      <c r="K1092" s="106"/>
      <c r="P1092" s="106"/>
    </row>
    <row r="1093">
      <c r="A1093" s="105"/>
      <c r="C1093" s="105"/>
      <c r="K1093" s="106"/>
      <c r="P1093" s="106"/>
    </row>
    <row r="1094">
      <c r="A1094" s="105"/>
      <c r="C1094" s="105"/>
      <c r="K1094" s="106"/>
      <c r="P1094" s="106"/>
    </row>
    <row r="1095">
      <c r="A1095" s="105"/>
      <c r="C1095" s="105"/>
      <c r="K1095" s="106"/>
      <c r="P1095" s="106"/>
    </row>
    <row r="1096">
      <c r="A1096" s="105"/>
      <c r="C1096" s="105"/>
      <c r="K1096" s="106"/>
      <c r="P1096" s="106"/>
    </row>
    <row r="1097">
      <c r="A1097" s="105"/>
      <c r="C1097" s="105"/>
      <c r="K1097" s="106"/>
      <c r="P1097" s="106"/>
    </row>
    <row r="1098">
      <c r="A1098" s="105"/>
      <c r="C1098" s="105"/>
      <c r="K1098" s="106"/>
      <c r="P1098" s="106"/>
    </row>
    <row r="1099">
      <c r="A1099" s="105"/>
      <c r="C1099" s="105"/>
      <c r="K1099" s="106"/>
      <c r="P1099" s="106"/>
    </row>
    <row r="1100">
      <c r="A1100" s="105"/>
      <c r="C1100" s="105"/>
      <c r="K1100" s="106"/>
      <c r="P1100" s="106"/>
    </row>
    <row r="1101">
      <c r="A1101" s="105"/>
      <c r="C1101" s="105"/>
      <c r="K1101" s="106"/>
      <c r="P1101" s="106"/>
    </row>
    <row r="1102">
      <c r="A1102" s="105"/>
      <c r="C1102" s="105"/>
      <c r="K1102" s="106"/>
      <c r="P1102" s="106"/>
    </row>
    <row r="1103">
      <c r="A1103" s="105"/>
      <c r="C1103" s="105"/>
      <c r="K1103" s="106"/>
      <c r="P1103" s="106"/>
    </row>
    <row r="1104">
      <c r="A1104" s="105"/>
      <c r="C1104" s="105"/>
      <c r="K1104" s="106"/>
      <c r="P1104" s="106"/>
    </row>
    <row r="1105">
      <c r="A1105" s="105"/>
      <c r="C1105" s="105"/>
      <c r="K1105" s="106"/>
      <c r="P1105" s="106"/>
    </row>
    <row r="1106">
      <c r="A1106" s="105"/>
      <c r="C1106" s="105"/>
      <c r="K1106" s="106"/>
      <c r="P1106" s="106"/>
    </row>
    <row r="1107">
      <c r="A1107" s="105"/>
      <c r="C1107" s="105"/>
      <c r="K1107" s="106"/>
      <c r="P1107" s="106"/>
    </row>
    <row r="1108">
      <c r="A1108" s="105"/>
      <c r="C1108" s="105"/>
      <c r="K1108" s="106"/>
      <c r="P1108" s="106"/>
    </row>
    <row r="1109">
      <c r="A1109" s="105"/>
      <c r="C1109" s="105"/>
      <c r="K1109" s="106"/>
      <c r="P1109" s="106"/>
    </row>
    <row r="1110">
      <c r="A1110" s="105"/>
      <c r="C1110" s="105"/>
      <c r="K1110" s="106"/>
      <c r="P1110" s="106"/>
    </row>
    <row r="1111">
      <c r="A1111" s="105"/>
      <c r="C1111" s="105"/>
      <c r="K1111" s="106"/>
      <c r="P1111" s="106"/>
    </row>
    <row r="1112">
      <c r="A1112" s="105"/>
      <c r="C1112" s="105"/>
      <c r="K1112" s="106"/>
      <c r="P1112" s="106"/>
    </row>
    <row r="1113">
      <c r="A1113" s="105"/>
      <c r="C1113" s="105"/>
      <c r="K1113" s="106"/>
      <c r="P1113" s="106"/>
    </row>
    <row r="1114">
      <c r="A1114" s="105"/>
      <c r="C1114" s="105"/>
      <c r="K1114" s="106"/>
      <c r="P1114" s="106"/>
    </row>
    <row r="1115">
      <c r="A1115" s="105"/>
      <c r="C1115" s="105"/>
      <c r="K1115" s="106"/>
      <c r="P1115" s="106"/>
    </row>
    <row r="1116">
      <c r="A1116" s="105"/>
      <c r="C1116" s="105"/>
      <c r="K1116" s="106"/>
      <c r="P1116" s="106"/>
    </row>
    <row r="1117">
      <c r="A1117" s="105"/>
      <c r="C1117" s="105"/>
      <c r="K1117" s="106"/>
      <c r="P1117" s="106"/>
    </row>
    <row r="1118">
      <c r="A1118" s="105"/>
      <c r="C1118" s="105"/>
      <c r="K1118" s="106"/>
      <c r="P1118" s="106"/>
    </row>
    <row r="1119">
      <c r="A1119" s="105"/>
      <c r="C1119" s="105"/>
      <c r="K1119" s="106"/>
      <c r="P1119" s="106"/>
    </row>
    <row r="1120">
      <c r="A1120" s="105"/>
      <c r="C1120" s="105"/>
      <c r="K1120" s="106"/>
      <c r="P1120" s="106"/>
    </row>
    <row r="1121">
      <c r="A1121" s="105"/>
      <c r="C1121" s="105"/>
      <c r="K1121" s="106"/>
      <c r="P1121" s="106"/>
    </row>
    <row r="1122">
      <c r="A1122" s="105"/>
      <c r="C1122" s="105"/>
      <c r="K1122" s="106"/>
      <c r="P1122" s="106"/>
    </row>
    <row r="1123">
      <c r="A1123" s="105"/>
      <c r="C1123" s="105"/>
      <c r="K1123" s="106"/>
      <c r="P1123" s="106"/>
    </row>
    <row r="1124">
      <c r="A1124" s="105"/>
      <c r="C1124" s="105"/>
      <c r="K1124" s="106"/>
      <c r="P1124" s="106"/>
    </row>
    <row r="1125">
      <c r="A1125" s="105"/>
      <c r="C1125" s="105"/>
      <c r="K1125" s="106"/>
      <c r="P1125" s="106"/>
    </row>
    <row r="1126">
      <c r="A1126" s="105"/>
      <c r="C1126" s="105"/>
      <c r="K1126" s="106"/>
      <c r="P1126" s="106"/>
    </row>
    <row r="1127">
      <c r="A1127" s="105"/>
      <c r="C1127" s="105"/>
      <c r="K1127" s="106"/>
      <c r="P1127" s="106"/>
    </row>
    <row r="1128">
      <c r="A1128" s="105"/>
      <c r="C1128" s="105"/>
      <c r="K1128" s="106"/>
      <c r="P1128" s="106"/>
    </row>
    <row r="1129">
      <c r="A1129" s="105"/>
      <c r="C1129" s="105"/>
      <c r="K1129" s="106"/>
      <c r="P1129" s="106"/>
    </row>
    <row r="1130">
      <c r="A1130" s="105"/>
      <c r="C1130" s="105"/>
      <c r="K1130" s="106"/>
      <c r="P1130" s="106"/>
    </row>
    <row r="1131">
      <c r="A1131" s="105"/>
      <c r="C1131" s="105"/>
      <c r="K1131" s="106"/>
      <c r="P1131" s="106"/>
    </row>
    <row r="1132">
      <c r="A1132" s="105"/>
      <c r="C1132" s="105"/>
      <c r="K1132" s="106"/>
      <c r="P1132" s="106"/>
    </row>
    <row r="1133">
      <c r="A1133" s="105"/>
      <c r="C1133" s="105"/>
      <c r="K1133" s="106"/>
      <c r="P1133" s="106"/>
    </row>
    <row r="1134">
      <c r="A1134" s="105"/>
      <c r="C1134" s="105"/>
      <c r="K1134" s="106"/>
      <c r="P1134" s="106"/>
    </row>
    <row r="1135">
      <c r="A1135" s="105"/>
      <c r="C1135" s="105"/>
      <c r="K1135" s="106"/>
      <c r="P1135" s="106"/>
    </row>
    <row r="1136">
      <c r="A1136" s="105"/>
      <c r="C1136" s="105"/>
      <c r="K1136" s="106"/>
      <c r="P1136" s="106"/>
    </row>
    <row r="1137">
      <c r="A1137" s="105"/>
      <c r="C1137" s="105"/>
      <c r="K1137" s="106"/>
      <c r="P1137" s="106"/>
    </row>
    <row r="1138">
      <c r="A1138" s="105"/>
      <c r="C1138" s="105"/>
      <c r="K1138" s="106"/>
      <c r="P1138" s="106"/>
    </row>
    <row r="1139">
      <c r="A1139" s="105"/>
      <c r="C1139" s="105"/>
      <c r="K1139" s="106"/>
      <c r="P1139" s="106"/>
    </row>
    <row r="1140">
      <c r="A1140" s="105"/>
      <c r="C1140" s="105"/>
      <c r="K1140" s="106"/>
      <c r="P1140" s="106"/>
    </row>
    <row r="1141">
      <c r="A1141" s="105"/>
      <c r="C1141" s="105"/>
      <c r="K1141" s="106"/>
      <c r="P1141" s="106"/>
    </row>
    <row r="1142">
      <c r="A1142" s="105"/>
      <c r="C1142" s="105"/>
      <c r="K1142" s="106"/>
      <c r="P1142" s="106"/>
    </row>
    <row r="1143">
      <c r="A1143" s="105"/>
      <c r="C1143" s="105"/>
      <c r="K1143" s="106"/>
      <c r="P1143" s="106"/>
    </row>
    <row r="1144">
      <c r="A1144" s="105"/>
      <c r="C1144" s="105"/>
      <c r="K1144" s="106"/>
      <c r="P1144" s="106"/>
    </row>
    <row r="1145">
      <c r="A1145" s="105"/>
      <c r="C1145" s="105"/>
      <c r="K1145" s="106"/>
      <c r="P1145" s="106"/>
    </row>
    <row r="1146">
      <c r="A1146" s="105"/>
      <c r="C1146" s="105"/>
      <c r="K1146" s="106"/>
      <c r="P1146" s="106"/>
    </row>
    <row r="1147">
      <c r="A1147" s="105"/>
      <c r="C1147" s="105"/>
      <c r="K1147" s="106"/>
      <c r="P1147" s="106"/>
    </row>
    <row r="1148">
      <c r="A1148" s="105"/>
      <c r="C1148" s="105"/>
      <c r="K1148" s="106"/>
      <c r="P1148" s="106"/>
    </row>
    <row r="1149">
      <c r="A1149" s="105"/>
      <c r="C1149" s="105"/>
      <c r="K1149" s="106"/>
      <c r="P1149" s="106"/>
    </row>
    <row r="1150">
      <c r="A1150" s="105"/>
      <c r="C1150" s="105"/>
      <c r="K1150" s="106"/>
      <c r="P1150" s="106"/>
    </row>
    <row r="1151">
      <c r="A1151" s="105"/>
      <c r="C1151" s="105"/>
      <c r="K1151" s="106"/>
      <c r="P1151" s="106"/>
    </row>
    <row r="1152">
      <c r="A1152" s="105"/>
      <c r="C1152" s="105"/>
      <c r="K1152" s="106"/>
      <c r="P1152" s="106"/>
    </row>
    <row r="1153">
      <c r="A1153" s="105"/>
      <c r="C1153" s="105"/>
      <c r="K1153" s="106"/>
      <c r="P1153" s="106"/>
    </row>
    <row r="1154">
      <c r="A1154" s="105"/>
      <c r="C1154" s="105"/>
      <c r="K1154" s="106"/>
      <c r="P1154" s="106"/>
    </row>
    <row r="1155">
      <c r="A1155" s="105"/>
      <c r="C1155" s="105"/>
      <c r="K1155" s="106"/>
      <c r="P1155" s="106"/>
    </row>
    <row r="1156">
      <c r="A1156" s="105"/>
      <c r="C1156" s="105"/>
      <c r="K1156" s="106"/>
      <c r="P1156" s="106"/>
    </row>
    <row r="1157">
      <c r="A1157" s="105"/>
      <c r="C1157" s="105"/>
      <c r="K1157" s="106"/>
      <c r="P1157" s="106"/>
    </row>
    <row r="1158">
      <c r="A1158" s="105"/>
      <c r="C1158" s="105"/>
      <c r="K1158" s="106"/>
      <c r="P1158" s="106"/>
    </row>
    <row r="1159">
      <c r="A1159" s="105"/>
      <c r="C1159" s="105"/>
      <c r="K1159" s="106"/>
      <c r="P1159" s="106"/>
    </row>
    <row r="1160">
      <c r="A1160" s="105"/>
      <c r="C1160" s="105"/>
      <c r="K1160" s="106"/>
      <c r="P1160" s="106"/>
    </row>
    <row r="1161">
      <c r="A1161" s="105"/>
      <c r="C1161" s="105"/>
      <c r="K1161" s="106"/>
      <c r="P1161" s="106"/>
    </row>
    <row r="1162">
      <c r="A1162" s="105"/>
      <c r="C1162" s="105"/>
      <c r="K1162" s="106"/>
      <c r="P1162" s="106"/>
    </row>
    <row r="1163">
      <c r="A1163" s="105"/>
      <c r="C1163" s="105"/>
      <c r="K1163" s="106"/>
      <c r="P1163" s="106"/>
    </row>
    <row r="1164">
      <c r="A1164" s="105"/>
      <c r="C1164" s="105"/>
      <c r="K1164" s="106"/>
      <c r="P1164" s="106"/>
    </row>
    <row r="1165">
      <c r="A1165" s="105"/>
      <c r="C1165" s="105"/>
      <c r="K1165" s="106"/>
      <c r="P1165" s="106"/>
    </row>
    <row r="1166">
      <c r="A1166" s="105"/>
      <c r="C1166" s="105"/>
      <c r="K1166" s="106"/>
      <c r="P1166" s="106"/>
    </row>
    <row r="1167">
      <c r="A1167" s="105"/>
      <c r="C1167" s="105"/>
      <c r="K1167" s="106"/>
      <c r="P1167" s="106"/>
    </row>
    <row r="1168">
      <c r="A1168" s="105"/>
      <c r="C1168" s="105"/>
      <c r="K1168" s="106"/>
      <c r="P1168" s="106"/>
    </row>
    <row r="1169">
      <c r="A1169" s="105"/>
      <c r="C1169" s="105"/>
      <c r="K1169" s="106"/>
      <c r="P1169" s="106"/>
    </row>
    <row r="1170">
      <c r="A1170" s="105"/>
      <c r="C1170" s="105"/>
      <c r="K1170" s="106"/>
      <c r="P1170" s="106"/>
    </row>
    <row r="1171">
      <c r="A1171" s="105"/>
      <c r="C1171" s="105"/>
      <c r="K1171" s="106"/>
      <c r="P1171" s="106"/>
    </row>
    <row r="1172">
      <c r="A1172" s="105"/>
      <c r="C1172" s="105"/>
      <c r="K1172" s="106"/>
      <c r="P1172" s="106"/>
    </row>
    <row r="1173">
      <c r="A1173" s="105"/>
      <c r="C1173" s="105"/>
      <c r="K1173" s="106"/>
      <c r="P1173" s="106"/>
    </row>
    <row r="1174">
      <c r="A1174" s="105"/>
      <c r="C1174" s="105"/>
      <c r="K1174" s="106"/>
      <c r="P1174" s="106"/>
    </row>
    <row r="1175">
      <c r="A1175" s="105"/>
      <c r="C1175" s="105"/>
      <c r="K1175" s="106"/>
      <c r="P1175" s="106"/>
    </row>
    <row r="1176">
      <c r="A1176" s="105"/>
      <c r="C1176" s="105"/>
      <c r="K1176" s="106"/>
      <c r="P1176" s="106"/>
    </row>
    <row r="1177">
      <c r="A1177" s="105"/>
      <c r="C1177" s="105"/>
      <c r="K1177" s="106"/>
      <c r="P1177" s="106"/>
    </row>
    <row r="1178">
      <c r="A1178" s="105"/>
      <c r="C1178" s="105"/>
      <c r="K1178" s="106"/>
      <c r="P1178" s="106"/>
    </row>
    <row r="1179">
      <c r="A1179" s="105"/>
      <c r="C1179" s="105"/>
      <c r="K1179" s="106"/>
      <c r="P1179" s="106"/>
    </row>
    <row r="1180">
      <c r="A1180" s="105"/>
      <c r="C1180" s="105"/>
      <c r="K1180" s="106"/>
      <c r="P1180" s="106"/>
    </row>
    <row r="1181">
      <c r="A1181" s="105"/>
      <c r="C1181" s="105"/>
      <c r="K1181" s="106"/>
      <c r="P1181" s="106"/>
    </row>
    <row r="1182">
      <c r="A1182" s="105"/>
      <c r="C1182" s="105"/>
      <c r="K1182" s="106"/>
      <c r="P1182" s="106"/>
    </row>
    <row r="1183">
      <c r="A1183" s="105"/>
      <c r="C1183" s="105"/>
      <c r="K1183" s="106"/>
      <c r="P1183" s="106"/>
    </row>
    <row r="1184">
      <c r="A1184" s="105"/>
      <c r="C1184" s="105"/>
      <c r="K1184" s="106"/>
      <c r="P1184" s="106"/>
    </row>
    <row r="1185">
      <c r="A1185" s="105"/>
      <c r="C1185" s="105"/>
      <c r="K1185" s="106"/>
      <c r="P1185" s="106"/>
    </row>
    <row r="1186">
      <c r="A1186" s="105"/>
      <c r="C1186" s="105"/>
      <c r="K1186" s="106"/>
      <c r="P1186" s="106"/>
    </row>
    <row r="1187">
      <c r="A1187" s="105"/>
      <c r="C1187" s="105"/>
      <c r="K1187" s="106"/>
      <c r="P1187" s="106"/>
    </row>
    <row r="1188">
      <c r="A1188" s="105"/>
      <c r="C1188" s="105"/>
      <c r="K1188" s="106"/>
      <c r="P1188" s="106"/>
    </row>
    <row r="1189">
      <c r="A1189" s="105"/>
      <c r="C1189" s="105"/>
      <c r="K1189" s="106"/>
      <c r="P1189" s="106"/>
    </row>
    <row r="1190">
      <c r="A1190" s="105"/>
      <c r="C1190" s="105"/>
      <c r="K1190" s="106"/>
      <c r="P1190" s="106"/>
    </row>
    <row r="1191">
      <c r="A1191" s="105"/>
      <c r="C1191" s="105"/>
      <c r="K1191" s="106"/>
      <c r="P1191" s="106"/>
    </row>
    <row r="1192">
      <c r="A1192" s="105"/>
      <c r="C1192" s="105"/>
      <c r="K1192" s="106"/>
      <c r="P1192" s="106"/>
    </row>
    <row r="1193">
      <c r="A1193" s="105"/>
      <c r="C1193" s="105"/>
      <c r="K1193" s="106"/>
      <c r="P1193" s="106"/>
    </row>
    <row r="1194">
      <c r="A1194" s="105"/>
      <c r="C1194" s="105"/>
      <c r="K1194" s="106"/>
      <c r="P1194" s="106"/>
    </row>
    <row r="1195">
      <c r="A1195" s="105"/>
      <c r="C1195" s="105"/>
      <c r="K1195" s="106"/>
      <c r="P1195" s="106"/>
    </row>
    <row r="1196">
      <c r="A1196" s="105"/>
      <c r="C1196" s="105"/>
      <c r="K1196" s="106"/>
      <c r="P1196" s="106"/>
    </row>
    <row r="1197">
      <c r="A1197" s="105"/>
      <c r="C1197" s="105"/>
      <c r="K1197" s="106"/>
      <c r="P1197" s="106"/>
    </row>
    <row r="1198">
      <c r="A1198" s="105"/>
      <c r="C1198" s="105"/>
      <c r="K1198" s="106"/>
      <c r="P1198" s="106"/>
    </row>
    <row r="1199">
      <c r="A1199" s="105"/>
      <c r="C1199" s="105"/>
      <c r="K1199" s="106"/>
      <c r="P1199" s="106"/>
    </row>
    <row r="1200">
      <c r="A1200" s="105"/>
      <c r="C1200" s="105"/>
      <c r="K1200" s="106"/>
      <c r="P1200" s="106"/>
    </row>
    <row r="1201">
      <c r="A1201" s="105"/>
      <c r="C1201" s="105"/>
      <c r="K1201" s="106"/>
      <c r="P1201" s="106"/>
    </row>
    <row r="1202">
      <c r="A1202" s="105"/>
      <c r="C1202" s="105"/>
      <c r="K1202" s="106"/>
      <c r="P1202" s="106"/>
    </row>
    <row r="1203">
      <c r="A1203" s="105"/>
      <c r="C1203" s="105"/>
      <c r="K1203" s="106"/>
      <c r="P1203" s="106"/>
    </row>
    <row r="1204">
      <c r="A1204" s="105"/>
      <c r="C1204" s="105"/>
      <c r="K1204" s="106"/>
      <c r="P1204" s="106"/>
    </row>
    <row r="1205">
      <c r="A1205" s="105"/>
      <c r="C1205" s="105"/>
      <c r="K1205" s="106"/>
      <c r="P1205" s="106"/>
    </row>
    <row r="1206">
      <c r="A1206" s="105"/>
      <c r="C1206" s="105"/>
      <c r="K1206" s="106"/>
      <c r="P1206" s="106"/>
    </row>
    <row r="1207">
      <c r="A1207" s="105"/>
      <c r="C1207" s="105"/>
      <c r="K1207" s="106"/>
      <c r="P1207" s="106"/>
    </row>
    <row r="1208">
      <c r="A1208" s="105"/>
      <c r="C1208" s="105"/>
      <c r="K1208" s="106"/>
      <c r="P1208" s="106"/>
    </row>
    <row r="1209">
      <c r="A1209" s="105"/>
      <c r="C1209" s="105"/>
      <c r="K1209" s="106"/>
      <c r="P1209" s="106"/>
    </row>
    <row r="1210">
      <c r="A1210" s="105"/>
      <c r="C1210" s="105"/>
      <c r="K1210" s="106"/>
      <c r="P1210" s="106"/>
    </row>
    <row r="1211">
      <c r="A1211" s="105"/>
      <c r="C1211" s="105"/>
      <c r="K1211" s="106"/>
      <c r="P1211" s="106"/>
    </row>
    <row r="1212">
      <c r="A1212" s="105"/>
      <c r="C1212" s="105"/>
      <c r="K1212" s="106"/>
      <c r="P1212" s="106"/>
    </row>
    <row r="1213">
      <c r="A1213" s="105"/>
      <c r="C1213" s="105"/>
      <c r="K1213" s="106"/>
      <c r="P1213" s="106"/>
    </row>
    <row r="1214">
      <c r="A1214" s="105"/>
      <c r="C1214" s="105"/>
      <c r="K1214" s="106"/>
      <c r="P1214" s="106"/>
    </row>
    <row r="1215">
      <c r="A1215" s="105"/>
      <c r="C1215" s="105"/>
      <c r="K1215" s="106"/>
      <c r="P1215" s="106"/>
    </row>
    <row r="1216">
      <c r="A1216" s="105"/>
      <c r="C1216" s="105"/>
      <c r="K1216" s="106"/>
      <c r="P1216" s="106"/>
    </row>
    <row r="1217">
      <c r="A1217" s="105"/>
      <c r="C1217" s="105"/>
      <c r="K1217" s="106"/>
      <c r="P1217" s="106"/>
    </row>
    <row r="1218">
      <c r="A1218" s="105"/>
      <c r="C1218" s="105"/>
      <c r="K1218" s="106"/>
      <c r="P1218" s="106"/>
    </row>
    <row r="1219">
      <c r="A1219" s="105"/>
      <c r="C1219" s="105"/>
      <c r="K1219" s="106"/>
      <c r="P1219" s="106"/>
    </row>
    <row r="1220">
      <c r="A1220" s="105"/>
      <c r="C1220" s="105"/>
      <c r="K1220" s="106"/>
      <c r="P1220" s="106"/>
    </row>
    <row r="1221">
      <c r="A1221" s="105"/>
      <c r="C1221" s="105"/>
      <c r="K1221" s="106"/>
      <c r="P1221" s="106"/>
    </row>
    <row r="1222">
      <c r="A1222" s="105"/>
      <c r="C1222" s="105"/>
      <c r="K1222" s="106"/>
      <c r="P1222" s="106"/>
    </row>
    <row r="1223">
      <c r="A1223" s="105"/>
      <c r="C1223" s="105"/>
      <c r="K1223" s="106"/>
      <c r="P1223" s="106"/>
    </row>
    <row r="1224">
      <c r="A1224" s="105"/>
      <c r="C1224" s="105"/>
      <c r="K1224" s="106"/>
      <c r="P1224" s="106"/>
    </row>
    <row r="1225">
      <c r="A1225" s="105"/>
      <c r="C1225" s="105"/>
      <c r="K1225" s="106"/>
      <c r="P1225" s="106"/>
    </row>
    <row r="1226">
      <c r="A1226" s="105"/>
      <c r="C1226" s="105"/>
      <c r="K1226" s="106"/>
      <c r="P1226" s="106"/>
    </row>
    <row r="1227">
      <c r="A1227" s="105"/>
      <c r="C1227" s="105"/>
      <c r="K1227" s="106"/>
      <c r="P1227" s="106"/>
    </row>
    <row r="1228">
      <c r="A1228" s="105"/>
      <c r="C1228" s="105"/>
      <c r="K1228" s="106"/>
      <c r="P1228" s="106"/>
    </row>
    <row r="1229">
      <c r="A1229" s="105"/>
      <c r="C1229" s="105"/>
      <c r="K1229" s="106"/>
      <c r="P1229" s="106"/>
    </row>
    <row r="1230">
      <c r="A1230" s="105"/>
      <c r="C1230" s="105"/>
      <c r="K1230" s="106"/>
      <c r="P1230" s="106"/>
    </row>
    <row r="1231">
      <c r="A1231" s="105"/>
      <c r="C1231" s="105"/>
      <c r="K1231" s="106"/>
      <c r="P1231" s="106"/>
    </row>
    <row r="1232">
      <c r="A1232" s="105"/>
      <c r="C1232" s="105"/>
      <c r="K1232" s="106"/>
      <c r="P1232" s="106"/>
    </row>
    <row r="1233">
      <c r="A1233" s="105"/>
      <c r="C1233" s="105"/>
      <c r="K1233" s="106"/>
      <c r="P1233" s="106"/>
    </row>
    <row r="1234">
      <c r="A1234" s="105"/>
      <c r="C1234" s="105"/>
      <c r="K1234" s="106"/>
      <c r="P1234" s="106"/>
    </row>
    <row r="1235">
      <c r="A1235" s="105"/>
      <c r="C1235" s="105"/>
      <c r="K1235" s="106"/>
      <c r="P1235" s="106"/>
    </row>
    <row r="1236">
      <c r="A1236" s="105"/>
      <c r="C1236" s="105"/>
      <c r="K1236" s="106"/>
      <c r="P1236" s="106"/>
    </row>
    <row r="1237">
      <c r="A1237" s="105"/>
      <c r="C1237" s="105"/>
      <c r="K1237" s="106"/>
      <c r="P1237" s="106"/>
    </row>
    <row r="1238">
      <c r="A1238" s="105"/>
      <c r="C1238" s="105"/>
      <c r="K1238" s="106"/>
      <c r="P1238" s="106"/>
    </row>
    <row r="1239">
      <c r="A1239" s="105"/>
      <c r="C1239" s="105"/>
      <c r="K1239" s="106"/>
      <c r="P1239" s="106"/>
    </row>
    <row r="1240">
      <c r="A1240" s="105"/>
      <c r="C1240" s="105"/>
      <c r="K1240" s="106"/>
      <c r="P1240" s="106"/>
    </row>
    <row r="1241">
      <c r="A1241" s="105"/>
      <c r="C1241" s="105"/>
      <c r="K1241" s="106"/>
      <c r="P1241" s="106"/>
    </row>
    <row r="1242">
      <c r="A1242" s="105"/>
      <c r="C1242" s="105"/>
      <c r="K1242" s="106"/>
      <c r="P1242" s="106"/>
    </row>
    <row r="1243">
      <c r="A1243" s="105"/>
      <c r="C1243" s="105"/>
      <c r="K1243" s="106"/>
      <c r="P1243" s="106"/>
    </row>
    <row r="1244">
      <c r="A1244" s="105"/>
      <c r="C1244" s="105"/>
      <c r="K1244" s="106"/>
      <c r="P1244" s="106"/>
    </row>
    <row r="1245">
      <c r="A1245" s="105"/>
      <c r="C1245" s="105"/>
      <c r="K1245" s="106"/>
      <c r="P1245" s="106"/>
    </row>
    <row r="1246">
      <c r="A1246" s="105"/>
      <c r="C1246" s="105"/>
      <c r="K1246" s="106"/>
      <c r="P1246" s="106"/>
    </row>
    <row r="1247">
      <c r="A1247" s="105"/>
      <c r="C1247" s="105"/>
      <c r="K1247" s="106"/>
      <c r="P1247" s="106"/>
    </row>
    <row r="1248">
      <c r="A1248" s="105"/>
      <c r="C1248" s="105"/>
      <c r="K1248" s="106"/>
      <c r="P1248" s="106"/>
    </row>
    <row r="1249">
      <c r="A1249" s="105"/>
      <c r="C1249" s="105"/>
      <c r="K1249" s="106"/>
      <c r="P1249" s="106"/>
    </row>
    <row r="1250">
      <c r="A1250" s="105"/>
      <c r="C1250" s="105"/>
      <c r="K1250" s="106"/>
      <c r="P1250" s="106"/>
    </row>
    <row r="1251">
      <c r="A1251" s="105"/>
      <c r="C1251" s="105"/>
      <c r="K1251" s="106"/>
      <c r="P1251" s="106"/>
    </row>
    <row r="1252">
      <c r="A1252" s="105"/>
      <c r="C1252" s="105"/>
      <c r="K1252" s="106"/>
      <c r="P1252" s="106"/>
    </row>
    <row r="1253">
      <c r="A1253" s="105"/>
      <c r="C1253" s="105"/>
      <c r="K1253" s="106"/>
      <c r="P1253" s="106"/>
    </row>
    <row r="1254">
      <c r="A1254" s="105"/>
      <c r="C1254" s="105"/>
      <c r="K1254" s="106"/>
      <c r="P1254" s="106"/>
    </row>
    <row r="1255">
      <c r="A1255" s="105"/>
      <c r="C1255" s="105"/>
      <c r="K1255" s="106"/>
      <c r="P1255" s="106"/>
    </row>
    <row r="1256">
      <c r="A1256" s="105"/>
      <c r="C1256" s="105"/>
      <c r="K1256" s="106"/>
      <c r="P1256" s="106"/>
    </row>
    <row r="1257">
      <c r="A1257" s="105"/>
      <c r="C1257" s="105"/>
      <c r="K1257" s="106"/>
      <c r="P1257" s="106"/>
    </row>
    <row r="1258">
      <c r="A1258" s="105"/>
      <c r="C1258" s="105"/>
      <c r="K1258" s="106"/>
      <c r="P1258" s="106"/>
    </row>
    <row r="1259">
      <c r="A1259" s="105"/>
      <c r="C1259" s="105"/>
      <c r="K1259" s="106"/>
      <c r="P1259" s="106"/>
    </row>
    <row r="1260">
      <c r="A1260" s="105"/>
      <c r="C1260" s="105"/>
      <c r="K1260" s="106"/>
      <c r="P1260" s="106"/>
    </row>
    <row r="1261">
      <c r="A1261" s="105"/>
      <c r="C1261" s="105"/>
      <c r="K1261" s="106"/>
      <c r="P1261" s="106"/>
    </row>
    <row r="1262">
      <c r="A1262" s="105"/>
      <c r="C1262" s="105"/>
      <c r="K1262" s="106"/>
      <c r="P1262" s="106"/>
    </row>
    <row r="1263">
      <c r="A1263" s="105"/>
      <c r="C1263" s="105"/>
      <c r="K1263" s="106"/>
      <c r="P1263" s="106"/>
    </row>
    <row r="1264">
      <c r="A1264" s="105"/>
      <c r="C1264" s="105"/>
      <c r="K1264" s="106"/>
      <c r="P1264" s="106"/>
    </row>
    <row r="1265">
      <c r="A1265" s="105"/>
      <c r="C1265" s="105"/>
      <c r="K1265" s="106"/>
      <c r="P1265" s="106"/>
    </row>
    <row r="1266">
      <c r="A1266" s="105"/>
      <c r="C1266" s="105"/>
      <c r="K1266" s="106"/>
      <c r="P1266" s="106"/>
    </row>
    <row r="1267">
      <c r="A1267" s="105"/>
      <c r="C1267" s="105"/>
      <c r="K1267" s="106"/>
      <c r="P1267" s="106"/>
    </row>
    <row r="1268">
      <c r="A1268" s="105"/>
      <c r="C1268" s="105"/>
      <c r="K1268" s="106"/>
      <c r="P1268" s="106"/>
    </row>
    <row r="1269">
      <c r="A1269" s="105"/>
      <c r="C1269" s="105"/>
      <c r="K1269" s="106"/>
      <c r="P1269" s="106"/>
    </row>
    <row r="1270">
      <c r="A1270" s="105"/>
      <c r="C1270" s="105"/>
      <c r="K1270" s="106"/>
      <c r="P1270" s="106"/>
    </row>
    <row r="1271">
      <c r="A1271" s="105"/>
      <c r="C1271" s="105"/>
      <c r="K1271" s="106"/>
      <c r="P1271" s="106"/>
    </row>
    <row r="1272">
      <c r="A1272" s="105"/>
      <c r="C1272" s="105"/>
      <c r="K1272" s="106"/>
      <c r="P1272" s="106"/>
    </row>
    <row r="1273">
      <c r="A1273" s="105"/>
      <c r="C1273" s="105"/>
      <c r="K1273" s="106"/>
      <c r="P1273" s="106"/>
    </row>
    <row r="1274">
      <c r="A1274" s="105"/>
      <c r="C1274" s="105"/>
      <c r="K1274" s="106"/>
      <c r="P1274" s="106"/>
    </row>
    <row r="1275">
      <c r="A1275" s="105"/>
      <c r="C1275" s="105"/>
      <c r="K1275" s="106"/>
      <c r="P1275" s="106"/>
    </row>
    <row r="1276">
      <c r="A1276" s="105"/>
      <c r="C1276" s="105"/>
      <c r="K1276" s="106"/>
      <c r="P1276" s="106"/>
    </row>
    <row r="1277">
      <c r="A1277" s="105"/>
      <c r="C1277" s="105"/>
      <c r="K1277" s="106"/>
      <c r="P1277" s="106"/>
    </row>
    <row r="1278">
      <c r="A1278" s="105"/>
      <c r="C1278" s="105"/>
      <c r="K1278" s="106"/>
      <c r="P1278" s="106"/>
    </row>
    <row r="1279">
      <c r="A1279" s="105"/>
      <c r="C1279" s="105"/>
      <c r="K1279" s="106"/>
      <c r="P1279" s="106"/>
    </row>
    <row r="1280">
      <c r="A1280" s="105"/>
      <c r="C1280" s="105"/>
      <c r="K1280" s="106"/>
      <c r="P1280" s="106"/>
    </row>
    <row r="1281">
      <c r="A1281" s="105"/>
      <c r="C1281" s="105"/>
      <c r="K1281" s="106"/>
      <c r="P1281" s="106"/>
    </row>
    <row r="1282">
      <c r="A1282" s="105"/>
      <c r="C1282" s="105"/>
      <c r="K1282" s="106"/>
      <c r="P1282" s="106"/>
    </row>
    <row r="1283">
      <c r="A1283" s="105"/>
      <c r="C1283" s="105"/>
      <c r="K1283" s="106"/>
      <c r="P1283" s="106"/>
    </row>
    <row r="1284">
      <c r="A1284" s="105"/>
      <c r="C1284" s="105"/>
      <c r="K1284" s="106"/>
      <c r="P1284" s="106"/>
    </row>
    <row r="1285">
      <c r="A1285" s="105"/>
      <c r="C1285" s="105"/>
      <c r="K1285" s="106"/>
      <c r="P1285" s="106"/>
    </row>
    <row r="1286">
      <c r="A1286" s="105"/>
      <c r="C1286" s="105"/>
      <c r="K1286" s="106"/>
      <c r="P1286" s="106"/>
    </row>
    <row r="1287">
      <c r="A1287" s="105"/>
      <c r="C1287" s="105"/>
      <c r="K1287" s="106"/>
      <c r="P1287" s="106"/>
    </row>
    <row r="1288">
      <c r="A1288" s="105"/>
      <c r="C1288" s="105"/>
      <c r="K1288" s="106"/>
      <c r="P1288" s="106"/>
    </row>
    <row r="1289">
      <c r="A1289" s="105"/>
      <c r="C1289" s="105"/>
      <c r="K1289" s="106"/>
      <c r="P1289" s="106"/>
    </row>
    <row r="1290">
      <c r="A1290" s="105"/>
      <c r="C1290" s="105"/>
      <c r="K1290" s="106"/>
      <c r="P1290" s="106"/>
    </row>
    <row r="1291">
      <c r="A1291" s="105"/>
      <c r="C1291" s="105"/>
      <c r="K1291" s="106"/>
      <c r="P1291" s="106"/>
    </row>
    <row r="1292">
      <c r="A1292" s="105"/>
      <c r="C1292" s="105"/>
      <c r="K1292" s="106"/>
      <c r="P1292" s="106"/>
    </row>
    <row r="1293">
      <c r="A1293" s="105"/>
      <c r="C1293" s="105"/>
      <c r="K1293" s="106"/>
      <c r="P1293" s="106"/>
    </row>
    <row r="1294">
      <c r="A1294" s="105"/>
      <c r="C1294" s="105"/>
      <c r="K1294" s="106"/>
      <c r="P1294" s="106"/>
    </row>
    <row r="1295">
      <c r="A1295" s="105"/>
      <c r="C1295" s="105"/>
      <c r="K1295" s="106"/>
      <c r="P1295" s="106"/>
    </row>
    <row r="1296">
      <c r="A1296" s="105"/>
      <c r="C1296" s="105"/>
      <c r="K1296" s="106"/>
      <c r="P1296" s="106"/>
    </row>
    <row r="1297">
      <c r="A1297" s="105"/>
      <c r="C1297" s="105"/>
      <c r="K1297" s="106"/>
      <c r="P1297" s="106"/>
    </row>
    <row r="1298">
      <c r="A1298" s="105"/>
      <c r="C1298" s="105"/>
      <c r="K1298" s="106"/>
      <c r="P1298" s="106"/>
    </row>
    <row r="1299">
      <c r="A1299" s="105"/>
      <c r="C1299" s="105"/>
      <c r="K1299" s="106"/>
      <c r="P1299" s="106"/>
    </row>
    <row r="1300">
      <c r="A1300" s="105"/>
      <c r="C1300" s="105"/>
      <c r="K1300" s="106"/>
      <c r="P1300" s="106"/>
    </row>
    <row r="1301">
      <c r="A1301" s="105"/>
      <c r="C1301" s="105"/>
      <c r="K1301" s="106"/>
      <c r="P1301" s="106"/>
    </row>
    <row r="1302">
      <c r="A1302" s="105"/>
      <c r="C1302" s="105"/>
      <c r="K1302" s="106"/>
      <c r="P1302" s="106"/>
    </row>
    <row r="1303">
      <c r="A1303" s="105"/>
      <c r="C1303" s="105"/>
      <c r="K1303" s="106"/>
      <c r="P1303" s="106"/>
    </row>
    <row r="1304">
      <c r="A1304" s="105"/>
      <c r="C1304" s="105"/>
      <c r="K1304" s="106"/>
      <c r="P1304" s="106"/>
    </row>
    <row r="1305">
      <c r="A1305" s="105"/>
      <c r="C1305" s="105"/>
      <c r="K1305" s="106"/>
      <c r="P1305" s="106"/>
    </row>
    <row r="1306">
      <c r="A1306" s="105"/>
      <c r="C1306" s="105"/>
      <c r="K1306" s="106"/>
      <c r="P1306" s="106"/>
    </row>
    <row r="1307">
      <c r="A1307" s="105"/>
      <c r="C1307" s="105"/>
      <c r="K1307" s="106"/>
      <c r="P1307" s="106"/>
    </row>
    <row r="1308">
      <c r="A1308" s="105"/>
      <c r="C1308" s="105"/>
      <c r="K1308" s="106"/>
      <c r="P1308" s="106"/>
    </row>
    <row r="1309">
      <c r="A1309" s="105"/>
      <c r="C1309" s="105"/>
      <c r="K1309" s="106"/>
      <c r="P1309" s="106"/>
    </row>
    <row r="1310">
      <c r="A1310" s="105"/>
      <c r="C1310" s="105"/>
      <c r="K1310" s="106"/>
      <c r="P1310" s="106"/>
    </row>
    <row r="1311">
      <c r="A1311" s="105"/>
      <c r="C1311" s="105"/>
      <c r="K1311" s="106"/>
      <c r="P1311" s="106"/>
    </row>
    <row r="1312">
      <c r="A1312" s="105"/>
      <c r="C1312" s="105"/>
      <c r="K1312" s="106"/>
      <c r="P1312" s="106"/>
    </row>
    <row r="1313">
      <c r="A1313" s="105"/>
      <c r="C1313" s="105"/>
      <c r="K1313" s="106"/>
      <c r="P1313" s="106"/>
    </row>
    <row r="1314">
      <c r="A1314" s="105"/>
      <c r="C1314" s="105"/>
      <c r="K1314" s="106"/>
      <c r="P1314" s="106"/>
    </row>
    <row r="1315">
      <c r="A1315" s="105"/>
      <c r="C1315" s="105"/>
      <c r="K1315" s="106"/>
      <c r="P1315" s="106"/>
    </row>
    <row r="1316">
      <c r="A1316" s="105"/>
      <c r="C1316" s="105"/>
      <c r="K1316" s="106"/>
      <c r="P1316" s="106"/>
    </row>
    <row r="1317">
      <c r="A1317" s="105"/>
      <c r="C1317" s="105"/>
      <c r="K1317" s="106"/>
      <c r="P1317" s="106"/>
    </row>
    <row r="1318">
      <c r="A1318" s="105"/>
      <c r="C1318" s="105"/>
      <c r="K1318" s="106"/>
      <c r="P1318" s="106"/>
    </row>
    <row r="1319">
      <c r="A1319" s="105"/>
      <c r="C1319" s="105"/>
      <c r="K1319" s="106"/>
      <c r="P1319" s="106"/>
    </row>
    <row r="1320">
      <c r="A1320" s="105"/>
      <c r="C1320" s="105"/>
      <c r="K1320" s="106"/>
      <c r="P1320" s="106"/>
    </row>
    <row r="1321">
      <c r="A1321" s="105"/>
      <c r="C1321" s="105"/>
      <c r="K1321" s="106"/>
      <c r="P1321" s="106"/>
    </row>
    <row r="1322">
      <c r="A1322" s="105"/>
      <c r="C1322" s="105"/>
      <c r="K1322" s="106"/>
      <c r="P1322" s="106"/>
    </row>
    <row r="1323">
      <c r="A1323" s="105"/>
      <c r="C1323" s="105"/>
      <c r="K1323" s="106"/>
      <c r="P1323" s="106"/>
    </row>
    <row r="1324">
      <c r="A1324" s="105"/>
      <c r="C1324" s="105"/>
      <c r="K1324" s="106"/>
      <c r="P1324" s="106"/>
    </row>
    <row r="1325">
      <c r="A1325" s="105"/>
      <c r="C1325" s="105"/>
      <c r="K1325" s="106"/>
      <c r="P1325" s="106"/>
    </row>
    <row r="1326">
      <c r="A1326" s="105"/>
      <c r="C1326" s="105"/>
      <c r="K1326" s="106"/>
      <c r="P1326" s="106"/>
    </row>
    <row r="1327">
      <c r="A1327" s="105"/>
      <c r="C1327" s="105"/>
      <c r="K1327" s="106"/>
      <c r="P1327" s="106"/>
    </row>
    <row r="1328">
      <c r="A1328" s="105"/>
      <c r="C1328" s="105"/>
      <c r="K1328" s="106"/>
      <c r="P1328" s="106"/>
    </row>
    <row r="1329">
      <c r="A1329" s="105"/>
      <c r="C1329" s="105"/>
      <c r="K1329" s="106"/>
      <c r="P1329" s="106"/>
    </row>
    <row r="1330">
      <c r="A1330" s="105"/>
      <c r="C1330" s="105"/>
      <c r="K1330" s="106"/>
      <c r="P1330" s="106"/>
    </row>
    <row r="1331">
      <c r="A1331" s="105"/>
      <c r="C1331" s="105"/>
      <c r="K1331" s="106"/>
      <c r="P1331" s="106"/>
    </row>
    <row r="1332">
      <c r="A1332" s="105"/>
      <c r="C1332" s="105"/>
      <c r="K1332" s="106"/>
      <c r="P1332" s="106"/>
    </row>
    <row r="1333">
      <c r="A1333" s="105"/>
      <c r="C1333" s="105"/>
      <c r="K1333" s="106"/>
      <c r="P1333" s="106"/>
    </row>
    <row r="1334">
      <c r="A1334" s="105"/>
      <c r="C1334" s="105"/>
      <c r="K1334" s="106"/>
      <c r="P1334" s="106"/>
    </row>
    <row r="1335">
      <c r="A1335" s="105"/>
      <c r="C1335" s="105"/>
      <c r="K1335" s="106"/>
      <c r="P1335" s="106"/>
    </row>
    <row r="1336">
      <c r="A1336" s="105"/>
      <c r="C1336" s="105"/>
      <c r="K1336" s="106"/>
      <c r="P1336" s="106"/>
    </row>
    <row r="1337">
      <c r="A1337" s="105"/>
      <c r="C1337" s="105"/>
      <c r="K1337" s="106"/>
      <c r="P1337" s="106"/>
    </row>
    <row r="1338">
      <c r="A1338" s="105"/>
      <c r="C1338" s="105"/>
      <c r="K1338" s="106"/>
      <c r="P1338" s="106"/>
    </row>
    <row r="1339">
      <c r="A1339" s="105"/>
      <c r="C1339" s="105"/>
      <c r="K1339" s="106"/>
      <c r="P1339" s="106"/>
    </row>
    <row r="1340">
      <c r="A1340" s="105"/>
      <c r="C1340" s="105"/>
      <c r="K1340" s="106"/>
      <c r="P1340" s="106"/>
    </row>
    <row r="1341">
      <c r="A1341" s="105"/>
      <c r="C1341" s="105"/>
      <c r="K1341" s="106"/>
      <c r="P1341" s="106"/>
    </row>
    <row r="1342">
      <c r="A1342" s="105"/>
      <c r="C1342" s="105"/>
      <c r="K1342" s="106"/>
      <c r="P1342" s="106"/>
    </row>
    <row r="1343">
      <c r="A1343" s="105"/>
      <c r="C1343" s="105"/>
      <c r="K1343" s="106"/>
      <c r="P1343" s="106"/>
    </row>
    <row r="1344">
      <c r="A1344" s="105"/>
      <c r="C1344" s="105"/>
      <c r="K1344" s="106"/>
      <c r="P1344" s="106"/>
    </row>
    <row r="1345">
      <c r="A1345" s="105"/>
      <c r="C1345" s="105"/>
      <c r="K1345" s="106"/>
      <c r="P1345" s="106"/>
    </row>
    <row r="1346">
      <c r="A1346" s="105"/>
      <c r="C1346" s="105"/>
      <c r="K1346" s="106"/>
      <c r="P1346" s="106"/>
    </row>
    <row r="1347">
      <c r="A1347" s="105"/>
      <c r="C1347" s="105"/>
      <c r="K1347" s="106"/>
      <c r="P1347" s="106"/>
    </row>
    <row r="1348">
      <c r="A1348" s="105"/>
      <c r="C1348" s="105"/>
      <c r="K1348" s="106"/>
      <c r="P1348" s="106"/>
    </row>
    <row r="1349">
      <c r="A1349" s="105"/>
      <c r="C1349" s="105"/>
      <c r="K1349" s="106"/>
      <c r="P1349" s="106"/>
    </row>
    <row r="1350">
      <c r="A1350" s="105"/>
      <c r="C1350" s="105"/>
      <c r="K1350" s="106"/>
      <c r="P1350" s="106"/>
    </row>
    <row r="1351">
      <c r="A1351" s="105"/>
      <c r="C1351" s="105"/>
      <c r="K1351" s="106"/>
      <c r="P1351" s="106"/>
    </row>
    <row r="1352">
      <c r="A1352" s="105"/>
      <c r="C1352" s="105"/>
      <c r="K1352" s="106"/>
      <c r="P1352" s="106"/>
    </row>
    <row r="1353">
      <c r="A1353" s="105"/>
      <c r="C1353" s="105"/>
      <c r="K1353" s="106"/>
      <c r="P1353" s="106"/>
    </row>
    <row r="1354">
      <c r="A1354" s="105"/>
      <c r="C1354" s="105"/>
      <c r="K1354" s="106"/>
      <c r="P1354" s="106"/>
    </row>
    <row r="1355">
      <c r="A1355" s="105"/>
      <c r="C1355" s="105"/>
      <c r="K1355" s="106"/>
      <c r="P1355" s="106"/>
    </row>
    <row r="1356">
      <c r="A1356" s="105"/>
      <c r="C1356" s="105"/>
      <c r="K1356" s="106"/>
      <c r="P1356" s="106"/>
    </row>
    <row r="1357">
      <c r="A1357" s="105"/>
      <c r="C1357" s="105"/>
      <c r="K1357" s="106"/>
      <c r="P1357" s="106"/>
    </row>
    <row r="1358">
      <c r="A1358" s="105"/>
      <c r="C1358" s="105"/>
      <c r="K1358" s="106"/>
      <c r="P1358" s="106"/>
    </row>
    <row r="1359">
      <c r="A1359" s="105"/>
      <c r="C1359" s="105"/>
      <c r="K1359" s="106"/>
      <c r="P1359" s="106"/>
    </row>
    <row r="1360">
      <c r="A1360" s="105"/>
      <c r="C1360" s="105"/>
      <c r="K1360" s="106"/>
      <c r="P1360" s="106"/>
    </row>
    <row r="1361">
      <c r="A1361" s="105"/>
      <c r="C1361" s="105"/>
      <c r="K1361" s="106"/>
      <c r="P1361" s="106"/>
    </row>
    <row r="1362">
      <c r="A1362" s="105"/>
      <c r="C1362" s="105"/>
      <c r="K1362" s="106"/>
      <c r="P1362" s="106"/>
    </row>
    <row r="1363">
      <c r="A1363" s="105"/>
      <c r="C1363" s="105"/>
      <c r="K1363" s="106"/>
      <c r="P1363" s="106"/>
    </row>
    <row r="1364">
      <c r="A1364" s="105"/>
      <c r="C1364" s="105"/>
      <c r="K1364" s="106"/>
      <c r="P1364" s="106"/>
    </row>
    <row r="1365">
      <c r="A1365" s="105"/>
      <c r="C1365" s="105"/>
      <c r="K1365" s="106"/>
      <c r="P1365" s="106"/>
    </row>
    <row r="1366">
      <c r="A1366" s="105"/>
      <c r="C1366" s="105"/>
      <c r="K1366" s="106"/>
      <c r="P1366" s="106"/>
    </row>
    <row r="1367">
      <c r="A1367" s="105"/>
      <c r="C1367" s="105"/>
      <c r="K1367" s="106"/>
      <c r="P1367" s="106"/>
    </row>
    <row r="1368">
      <c r="A1368" s="105"/>
      <c r="C1368" s="105"/>
      <c r="K1368" s="106"/>
      <c r="P1368" s="106"/>
    </row>
    <row r="1369">
      <c r="A1369" s="105"/>
      <c r="C1369" s="105"/>
      <c r="K1369" s="106"/>
      <c r="P1369" s="106"/>
    </row>
    <row r="1370">
      <c r="A1370" s="105"/>
      <c r="C1370" s="105"/>
      <c r="K1370" s="106"/>
      <c r="P1370" s="106"/>
    </row>
    <row r="1371">
      <c r="A1371" s="105"/>
      <c r="C1371" s="105"/>
      <c r="K1371" s="106"/>
      <c r="P1371" s="106"/>
    </row>
    <row r="1372">
      <c r="A1372" s="105"/>
      <c r="C1372" s="105"/>
      <c r="K1372" s="106"/>
      <c r="P1372" s="106"/>
    </row>
    <row r="1373">
      <c r="A1373" s="105"/>
      <c r="C1373" s="105"/>
      <c r="K1373" s="106"/>
      <c r="P1373" s="106"/>
    </row>
    <row r="1374">
      <c r="A1374" s="105"/>
      <c r="C1374" s="105"/>
      <c r="K1374" s="106"/>
      <c r="P1374" s="106"/>
    </row>
    <row r="1375">
      <c r="A1375" s="105"/>
      <c r="C1375" s="105"/>
      <c r="K1375" s="106"/>
      <c r="P1375" s="106"/>
    </row>
    <row r="1376">
      <c r="A1376" s="105"/>
      <c r="C1376" s="105"/>
      <c r="K1376" s="106"/>
      <c r="P1376" s="106"/>
    </row>
    <row r="1377">
      <c r="A1377" s="105"/>
      <c r="C1377" s="105"/>
      <c r="K1377" s="106"/>
      <c r="P1377" s="106"/>
    </row>
    <row r="1378">
      <c r="A1378" s="105"/>
      <c r="C1378" s="105"/>
      <c r="K1378" s="106"/>
      <c r="P1378" s="106"/>
    </row>
    <row r="1379">
      <c r="A1379" s="105"/>
      <c r="C1379" s="105"/>
      <c r="K1379" s="106"/>
      <c r="P1379" s="106"/>
    </row>
    <row r="1380">
      <c r="A1380" s="105"/>
      <c r="C1380" s="105"/>
      <c r="K1380" s="106"/>
      <c r="P1380" s="106"/>
    </row>
    <row r="1381">
      <c r="A1381" s="105"/>
      <c r="C1381" s="105"/>
      <c r="K1381" s="106"/>
      <c r="P1381" s="106"/>
    </row>
    <row r="1382">
      <c r="A1382" s="105"/>
      <c r="C1382" s="105"/>
      <c r="K1382" s="106"/>
      <c r="P1382" s="106"/>
    </row>
    <row r="1383">
      <c r="A1383" s="105"/>
      <c r="C1383" s="105"/>
      <c r="K1383" s="106"/>
      <c r="P1383" s="106"/>
    </row>
    <row r="1384">
      <c r="A1384" s="105"/>
      <c r="C1384" s="105"/>
      <c r="K1384" s="106"/>
      <c r="P1384" s="106"/>
    </row>
    <row r="1385">
      <c r="A1385" s="105"/>
      <c r="C1385" s="105"/>
      <c r="K1385" s="106"/>
      <c r="P1385" s="106"/>
    </row>
    <row r="1386">
      <c r="A1386" s="105"/>
      <c r="C1386" s="105"/>
      <c r="K1386" s="106"/>
      <c r="P1386" s="106"/>
    </row>
    <row r="1387">
      <c r="A1387" s="105"/>
      <c r="C1387" s="105"/>
      <c r="K1387" s="106"/>
      <c r="P1387" s="106"/>
    </row>
    <row r="1388">
      <c r="A1388" s="105"/>
      <c r="C1388" s="105"/>
      <c r="K1388" s="106"/>
      <c r="P1388" s="106"/>
    </row>
    <row r="1389">
      <c r="A1389" s="105"/>
      <c r="C1389" s="105"/>
      <c r="K1389" s="106"/>
      <c r="P1389" s="106"/>
    </row>
    <row r="1390">
      <c r="A1390" s="105"/>
      <c r="C1390" s="105"/>
      <c r="K1390" s="106"/>
      <c r="P1390" s="106"/>
    </row>
    <row r="1391">
      <c r="A1391" s="105"/>
      <c r="C1391" s="105"/>
      <c r="K1391" s="106"/>
      <c r="P1391" s="106"/>
    </row>
    <row r="1392">
      <c r="A1392" s="105"/>
      <c r="C1392" s="105"/>
      <c r="K1392" s="106"/>
      <c r="P1392" s="106"/>
    </row>
    <row r="1393">
      <c r="A1393" s="105"/>
      <c r="C1393" s="105"/>
      <c r="K1393" s="106"/>
      <c r="P1393" s="106"/>
    </row>
    <row r="1394">
      <c r="A1394" s="105"/>
      <c r="C1394" s="105"/>
      <c r="K1394" s="106"/>
      <c r="P1394" s="106"/>
    </row>
    <row r="1395">
      <c r="A1395" s="105"/>
      <c r="C1395" s="105"/>
      <c r="K1395" s="106"/>
      <c r="P1395" s="106"/>
    </row>
    <row r="1396">
      <c r="A1396" s="105"/>
      <c r="C1396" s="105"/>
      <c r="K1396" s="106"/>
      <c r="P1396" s="106"/>
    </row>
    <row r="1397">
      <c r="A1397" s="105"/>
      <c r="C1397" s="105"/>
      <c r="K1397" s="106"/>
      <c r="P1397" s="106"/>
    </row>
    <row r="1398">
      <c r="A1398" s="105"/>
      <c r="C1398" s="105"/>
      <c r="K1398" s="106"/>
      <c r="P1398" s="106"/>
    </row>
    <row r="1399">
      <c r="A1399" s="105"/>
      <c r="C1399" s="105"/>
      <c r="K1399" s="106"/>
      <c r="P1399" s="106"/>
    </row>
    <row r="1400">
      <c r="A1400" s="105"/>
      <c r="C1400" s="105"/>
      <c r="K1400" s="106"/>
      <c r="P1400" s="106"/>
    </row>
    <row r="1401">
      <c r="A1401" s="105"/>
      <c r="C1401" s="105"/>
      <c r="K1401" s="106"/>
      <c r="P1401" s="106"/>
    </row>
    <row r="1402">
      <c r="A1402" s="105"/>
      <c r="C1402" s="105"/>
      <c r="K1402" s="106"/>
      <c r="P1402" s="106"/>
    </row>
    <row r="1403">
      <c r="A1403" s="105"/>
      <c r="C1403" s="105"/>
      <c r="K1403" s="106"/>
      <c r="P1403" s="106"/>
    </row>
    <row r="1404">
      <c r="A1404" s="105"/>
      <c r="C1404" s="105"/>
      <c r="K1404" s="106"/>
      <c r="P1404" s="106"/>
    </row>
    <row r="1405">
      <c r="A1405" s="105"/>
      <c r="C1405" s="105"/>
      <c r="K1405" s="106"/>
      <c r="P1405" s="106"/>
    </row>
    <row r="1406">
      <c r="A1406" s="105"/>
      <c r="C1406" s="105"/>
      <c r="K1406" s="106"/>
      <c r="P1406" s="106"/>
    </row>
    <row r="1407">
      <c r="A1407" s="105"/>
      <c r="C1407" s="105"/>
      <c r="K1407" s="106"/>
      <c r="P1407" s="106"/>
    </row>
    <row r="1408">
      <c r="A1408" s="105"/>
      <c r="C1408" s="105"/>
      <c r="K1408" s="106"/>
      <c r="P1408" s="106"/>
    </row>
    <row r="1409">
      <c r="A1409" s="105"/>
      <c r="C1409" s="105"/>
      <c r="K1409" s="106"/>
      <c r="P1409" s="106"/>
    </row>
    <row r="1410">
      <c r="A1410" s="105"/>
      <c r="C1410" s="105"/>
      <c r="K1410" s="106"/>
      <c r="P1410" s="106"/>
    </row>
    <row r="1411">
      <c r="A1411" s="105"/>
      <c r="C1411" s="105"/>
      <c r="K1411" s="106"/>
      <c r="P1411" s="106"/>
    </row>
    <row r="1412">
      <c r="A1412" s="105"/>
      <c r="C1412" s="105"/>
      <c r="K1412" s="106"/>
      <c r="P1412" s="106"/>
    </row>
    <row r="1413">
      <c r="A1413" s="105"/>
      <c r="C1413" s="105"/>
      <c r="K1413" s="106"/>
      <c r="P1413" s="106"/>
    </row>
    <row r="1414">
      <c r="A1414" s="105"/>
      <c r="C1414" s="105"/>
      <c r="K1414" s="106"/>
      <c r="P1414" s="106"/>
    </row>
    <row r="1415">
      <c r="A1415" s="105"/>
      <c r="C1415" s="105"/>
      <c r="K1415" s="106"/>
      <c r="P1415" s="106"/>
    </row>
    <row r="1416">
      <c r="A1416" s="105"/>
      <c r="C1416" s="105"/>
      <c r="K1416" s="106"/>
      <c r="P1416" s="106"/>
    </row>
    <row r="1417">
      <c r="A1417" s="105"/>
      <c r="C1417" s="105"/>
      <c r="K1417" s="106"/>
      <c r="P1417" s="106"/>
    </row>
    <row r="1418">
      <c r="A1418" s="105"/>
      <c r="C1418" s="105"/>
      <c r="K1418" s="106"/>
      <c r="P1418" s="106"/>
    </row>
    <row r="1419">
      <c r="A1419" s="105"/>
      <c r="C1419" s="105"/>
      <c r="K1419" s="106"/>
      <c r="P1419" s="106"/>
    </row>
    <row r="1420">
      <c r="A1420" s="105"/>
      <c r="C1420" s="105"/>
      <c r="K1420" s="106"/>
      <c r="P1420" s="106"/>
    </row>
    <row r="1421">
      <c r="A1421" s="105"/>
      <c r="C1421" s="105"/>
      <c r="K1421" s="106"/>
      <c r="P1421" s="106"/>
    </row>
    <row r="1422">
      <c r="A1422" s="105"/>
      <c r="C1422" s="105"/>
      <c r="K1422" s="106"/>
      <c r="P1422" s="106"/>
    </row>
    <row r="1423">
      <c r="A1423" s="105"/>
      <c r="C1423" s="105"/>
      <c r="K1423" s="106"/>
      <c r="P1423" s="106"/>
    </row>
    <row r="1424">
      <c r="A1424" s="105"/>
      <c r="C1424" s="105"/>
      <c r="K1424" s="106"/>
      <c r="P1424" s="106"/>
    </row>
    <row r="1425">
      <c r="A1425" s="105"/>
      <c r="C1425" s="105"/>
      <c r="K1425" s="106"/>
      <c r="P1425" s="106"/>
    </row>
    <row r="1426">
      <c r="A1426" s="105"/>
      <c r="C1426" s="105"/>
      <c r="K1426" s="106"/>
      <c r="P1426" s="106"/>
    </row>
    <row r="1427">
      <c r="A1427" s="105"/>
      <c r="C1427" s="105"/>
      <c r="K1427" s="106"/>
      <c r="P1427" s="106"/>
    </row>
    <row r="1428">
      <c r="A1428" s="105"/>
      <c r="C1428" s="105"/>
      <c r="K1428" s="106"/>
      <c r="P1428" s="106"/>
    </row>
    <row r="1429">
      <c r="A1429" s="105"/>
      <c r="C1429" s="105"/>
      <c r="K1429" s="106"/>
      <c r="P1429" s="106"/>
    </row>
    <row r="1430">
      <c r="A1430" s="105"/>
      <c r="C1430" s="105"/>
      <c r="K1430" s="106"/>
      <c r="P1430" s="106"/>
    </row>
    <row r="1431">
      <c r="A1431" s="105"/>
      <c r="C1431" s="105"/>
      <c r="K1431" s="106"/>
      <c r="P1431" s="106"/>
    </row>
    <row r="1432">
      <c r="A1432" s="105"/>
      <c r="C1432" s="105"/>
      <c r="K1432" s="106"/>
      <c r="P1432" s="106"/>
    </row>
    <row r="1433">
      <c r="A1433" s="105"/>
      <c r="C1433" s="105"/>
      <c r="K1433" s="106"/>
      <c r="P1433" s="106"/>
    </row>
    <row r="1434">
      <c r="A1434" s="105"/>
      <c r="C1434" s="105"/>
      <c r="K1434" s="106"/>
      <c r="P1434" s="106"/>
    </row>
    <row r="1435">
      <c r="A1435" s="105"/>
      <c r="C1435" s="105"/>
      <c r="K1435" s="106"/>
      <c r="P1435" s="106"/>
    </row>
    <row r="1436">
      <c r="A1436" s="105"/>
      <c r="C1436" s="105"/>
      <c r="K1436" s="106"/>
      <c r="P1436" s="106"/>
    </row>
    <row r="1437">
      <c r="A1437" s="105"/>
      <c r="C1437" s="105"/>
      <c r="K1437" s="106"/>
      <c r="P1437" s="106"/>
    </row>
    <row r="1438">
      <c r="A1438" s="105"/>
      <c r="C1438" s="105"/>
      <c r="K1438" s="106"/>
      <c r="P1438" s="106"/>
    </row>
    <row r="1439">
      <c r="A1439" s="105"/>
      <c r="C1439" s="105"/>
      <c r="K1439" s="106"/>
      <c r="P1439" s="106"/>
    </row>
    <row r="1440">
      <c r="A1440" s="105"/>
      <c r="C1440" s="105"/>
      <c r="K1440" s="106"/>
      <c r="P1440" s="106"/>
    </row>
    <row r="1441">
      <c r="A1441" s="105"/>
      <c r="C1441" s="105"/>
      <c r="K1441" s="106"/>
      <c r="P1441" s="106"/>
    </row>
    <row r="1442">
      <c r="A1442" s="105"/>
      <c r="C1442" s="105"/>
      <c r="K1442" s="106"/>
      <c r="P1442" s="106"/>
    </row>
    <row r="1443">
      <c r="A1443" s="105"/>
      <c r="C1443" s="105"/>
      <c r="K1443" s="106"/>
      <c r="P1443" s="106"/>
    </row>
    <row r="1444">
      <c r="A1444" s="105"/>
      <c r="C1444" s="105"/>
      <c r="K1444" s="106"/>
      <c r="P1444" s="106"/>
    </row>
    <row r="1445">
      <c r="A1445" s="105"/>
      <c r="C1445" s="105"/>
      <c r="K1445" s="106"/>
      <c r="P1445" s="106"/>
    </row>
    <row r="1446">
      <c r="A1446" s="105"/>
      <c r="C1446" s="105"/>
      <c r="K1446" s="106"/>
      <c r="P1446" s="106"/>
    </row>
    <row r="1447">
      <c r="A1447" s="105"/>
      <c r="C1447" s="105"/>
      <c r="K1447" s="106"/>
      <c r="P1447" s="106"/>
    </row>
    <row r="1448">
      <c r="A1448" s="105"/>
      <c r="C1448" s="105"/>
      <c r="K1448" s="106"/>
      <c r="P1448" s="106"/>
    </row>
    <row r="1449">
      <c r="A1449" s="105"/>
      <c r="C1449" s="105"/>
      <c r="K1449" s="106"/>
      <c r="P1449" s="106"/>
    </row>
    <row r="1450">
      <c r="A1450" s="105"/>
      <c r="C1450" s="105"/>
      <c r="K1450" s="106"/>
      <c r="P1450" s="106"/>
    </row>
    <row r="1451">
      <c r="A1451" s="105"/>
      <c r="C1451" s="105"/>
      <c r="K1451" s="106"/>
      <c r="P1451" s="106"/>
    </row>
    <row r="1452">
      <c r="A1452" s="105"/>
      <c r="C1452" s="105"/>
      <c r="K1452" s="106"/>
      <c r="P1452" s="106"/>
    </row>
    <row r="1453">
      <c r="A1453" s="105"/>
      <c r="C1453" s="105"/>
      <c r="K1453" s="106"/>
      <c r="P1453" s="106"/>
    </row>
    <row r="1454">
      <c r="A1454" s="105"/>
      <c r="C1454" s="105"/>
      <c r="K1454" s="106"/>
      <c r="P1454" s="106"/>
    </row>
    <row r="1455">
      <c r="A1455" s="105"/>
      <c r="C1455" s="105"/>
      <c r="K1455" s="106"/>
      <c r="P1455" s="106"/>
    </row>
    <row r="1456">
      <c r="A1456" s="105"/>
      <c r="C1456" s="105"/>
      <c r="K1456" s="106"/>
      <c r="P1456" s="106"/>
    </row>
    <row r="1457">
      <c r="A1457" s="105"/>
      <c r="C1457" s="105"/>
      <c r="K1457" s="106"/>
      <c r="P1457" s="106"/>
    </row>
    <row r="1458">
      <c r="A1458" s="105"/>
      <c r="C1458" s="105"/>
      <c r="K1458" s="106"/>
      <c r="P1458" s="106"/>
    </row>
    <row r="1459">
      <c r="A1459" s="105"/>
      <c r="C1459" s="105"/>
      <c r="K1459" s="106"/>
      <c r="P1459" s="106"/>
    </row>
    <row r="1460">
      <c r="A1460" s="105"/>
      <c r="C1460" s="105"/>
      <c r="K1460" s="106"/>
      <c r="P1460" s="106"/>
    </row>
    <row r="1461">
      <c r="A1461" s="105"/>
      <c r="C1461" s="105"/>
      <c r="K1461" s="106"/>
      <c r="P1461" s="106"/>
    </row>
    <row r="1462">
      <c r="A1462" s="105"/>
      <c r="C1462" s="105"/>
      <c r="K1462" s="106"/>
      <c r="P1462" s="106"/>
    </row>
    <row r="1463">
      <c r="A1463" s="105"/>
      <c r="C1463" s="105"/>
      <c r="K1463" s="106"/>
      <c r="P1463" s="106"/>
    </row>
    <row r="1464">
      <c r="A1464" s="105"/>
      <c r="C1464" s="105"/>
      <c r="K1464" s="106"/>
      <c r="P1464" s="106"/>
    </row>
    <row r="1465">
      <c r="A1465" s="105"/>
      <c r="C1465" s="105"/>
      <c r="K1465" s="106"/>
      <c r="P1465" s="106"/>
    </row>
    <row r="1466">
      <c r="A1466" s="105"/>
      <c r="C1466" s="105"/>
      <c r="K1466" s="106"/>
      <c r="P1466" s="106"/>
    </row>
    <row r="1467">
      <c r="A1467" s="105"/>
      <c r="C1467" s="105"/>
      <c r="K1467" s="106"/>
      <c r="P1467" s="106"/>
    </row>
    <row r="1468">
      <c r="A1468" s="105"/>
      <c r="C1468" s="105"/>
      <c r="K1468" s="106"/>
    </row>
    <row r="1469">
      <c r="A1469" s="105"/>
      <c r="C1469" s="105"/>
      <c r="K1469" s="106"/>
    </row>
  </sheetData>
  <autoFilter ref="$A$2:$AD$553">
    <sortState ref="A2:AD553">
      <sortCondition descending="1" ref="J2:J553"/>
    </sortState>
  </autoFilter>
  <mergeCells count="2">
    <mergeCell ref="H1:L1"/>
    <mergeCell ref="M1:Q1"/>
  </mergeCells>
  <dataValidations>
    <dataValidation type="list" allowBlank="1" showErrorMessage="1" sqref="G3:G119 G612:G682">
      <formula1>"Technology,Sustainabilty,National Security,Health,Space"</formula1>
    </dataValidation>
  </dataValidations>
  <hyperlinks>
    <hyperlink r:id="rId4" ref="B1"/>
    <hyperlink r:id="rId5" ref="A3"/>
    <hyperlink r:id="rId6" ref="C3"/>
    <hyperlink r:id="rId7" ref="A4"/>
    <hyperlink r:id="rId8" ref="C4"/>
    <hyperlink r:id="rId9" ref="A5"/>
    <hyperlink r:id="rId10" ref="C5"/>
    <hyperlink r:id="rId11" ref="A6"/>
    <hyperlink r:id="rId12" ref="C6"/>
    <hyperlink r:id="rId13" ref="A7"/>
    <hyperlink r:id="rId14" ref="C7"/>
    <hyperlink r:id="rId15" ref="A8"/>
    <hyperlink r:id="rId16" ref="C8"/>
    <hyperlink r:id="rId17" ref="C9"/>
    <hyperlink r:id="rId18" ref="C10"/>
    <hyperlink r:id="rId19" ref="A11"/>
    <hyperlink r:id="rId20" ref="C11"/>
    <hyperlink r:id="rId21" ref="A12"/>
    <hyperlink r:id="rId22" ref="C12"/>
    <hyperlink r:id="rId23" ref="A13"/>
    <hyperlink r:id="rId24" ref="C13"/>
    <hyperlink r:id="rId25" ref="A14"/>
    <hyperlink r:id="rId26" ref="C14"/>
    <hyperlink r:id="rId27" ref="A15"/>
    <hyperlink r:id="rId28" ref="C15"/>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C25"/>
    <hyperlink r:id="rId47" ref="A26"/>
    <hyperlink r:id="rId48" ref="C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ref="A32"/>
    <hyperlink r:id="rId60" ref="C32"/>
    <hyperlink r:id="rId61" ref="A33"/>
    <hyperlink r:id="rId62" ref="C33"/>
    <hyperlink r:id="rId63" ref="A34"/>
    <hyperlink r:id="rId64" ref="C34"/>
    <hyperlink r:id="rId65" ref="A35"/>
    <hyperlink r:id="rId66" ref="C35"/>
    <hyperlink r:id="rId67" ref="A36"/>
    <hyperlink r:id="rId68" ref="C36"/>
    <hyperlink r:id="rId69" ref="C37"/>
    <hyperlink r:id="rId70" ref="A38"/>
    <hyperlink r:id="rId71" ref="C38"/>
    <hyperlink r:id="rId72" ref="C39"/>
    <hyperlink r:id="rId73" ref="A40"/>
    <hyperlink r:id="rId74" ref="C40"/>
    <hyperlink r:id="rId75" ref="C41"/>
    <hyperlink r:id="rId76" ref="A42"/>
    <hyperlink r:id="rId77" ref="C42"/>
    <hyperlink r:id="rId78" ref="A43"/>
    <hyperlink r:id="rId79" ref="C43"/>
    <hyperlink r:id="rId80" ref="A44"/>
    <hyperlink r:id="rId81" ref="C44"/>
    <hyperlink r:id="rId82" ref="A45"/>
    <hyperlink r:id="rId83" ref="C45"/>
    <hyperlink r:id="rId84" ref="C46"/>
    <hyperlink r:id="rId85" ref="A47"/>
    <hyperlink r:id="rId86" ref="C47"/>
    <hyperlink r:id="rId87" ref="A48"/>
    <hyperlink r:id="rId88" ref="C48"/>
    <hyperlink r:id="rId89" ref="A49"/>
    <hyperlink r:id="rId90" ref="C49"/>
    <hyperlink r:id="rId91" ref="A50"/>
    <hyperlink r:id="rId92" ref="C50"/>
    <hyperlink r:id="rId93" ref="A51"/>
    <hyperlink r:id="rId94" ref="C51"/>
    <hyperlink r:id="rId95" ref="A52"/>
    <hyperlink r:id="rId96" ref="C52"/>
    <hyperlink r:id="rId97" ref="A53"/>
    <hyperlink r:id="rId98" ref="C53"/>
    <hyperlink r:id="rId99" ref="A54"/>
    <hyperlink r:id="rId100" ref="C54"/>
    <hyperlink r:id="rId101" ref="A55"/>
    <hyperlink r:id="rId102" ref="C55"/>
    <hyperlink r:id="rId103" ref="A56"/>
    <hyperlink r:id="rId104" ref="C56"/>
    <hyperlink r:id="rId105" ref="C57"/>
    <hyperlink r:id="rId106" ref="A58"/>
    <hyperlink r:id="rId107" ref="C58"/>
    <hyperlink r:id="rId108" ref="A59"/>
    <hyperlink r:id="rId109" ref="C59"/>
    <hyperlink r:id="rId110" ref="A60"/>
    <hyperlink r:id="rId111" ref="C60"/>
    <hyperlink r:id="rId112" ref="A61"/>
    <hyperlink r:id="rId113" ref="C61"/>
    <hyperlink r:id="rId114" ref="A62"/>
    <hyperlink r:id="rId115" ref="C62"/>
    <hyperlink r:id="rId116" ref="A63"/>
    <hyperlink r:id="rId117" ref="C63"/>
    <hyperlink r:id="rId118" ref="A64"/>
    <hyperlink r:id="rId119" ref="C64"/>
    <hyperlink r:id="rId120" ref="A65"/>
    <hyperlink r:id="rId121" ref="C65"/>
    <hyperlink r:id="rId122" ref="A66"/>
    <hyperlink r:id="rId123" ref="C66"/>
    <hyperlink r:id="rId124" ref="C67"/>
    <hyperlink r:id="rId125" ref="A68"/>
    <hyperlink r:id="rId126" ref="C68"/>
    <hyperlink r:id="rId127" ref="A69"/>
    <hyperlink r:id="rId128" ref="C69"/>
    <hyperlink r:id="rId129" ref="A70"/>
    <hyperlink r:id="rId130" ref="C70"/>
    <hyperlink r:id="rId131" ref="A71"/>
    <hyperlink r:id="rId132" ref="C71"/>
    <hyperlink r:id="rId133" ref="A72"/>
    <hyperlink r:id="rId134" ref="C72"/>
    <hyperlink r:id="rId135" ref="C73"/>
    <hyperlink r:id="rId136" ref="A74"/>
    <hyperlink r:id="rId137" ref="C74"/>
    <hyperlink r:id="rId138" ref="A75"/>
    <hyperlink r:id="rId139" ref="C75"/>
    <hyperlink r:id="rId140" ref="A76"/>
    <hyperlink r:id="rId141" ref="C76"/>
    <hyperlink r:id="rId142" ref="C77"/>
    <hyperlink r:id="rId143" ref="C78"/>
    <hyperlink r:id="rId144" ref="A79"/>
    <hyperlink r:id="rId145" ref="C79"/>
    <hyperlink r:id="rId146" ref="A80"/>
    <hyperlink r:id="rId147" ref="C80"/>
    <hyperlink r:id="rId148" ref="A81"/>
    <hyperlink r:id="rId149" ref="C81"/>
    <hyperlink r:id="rId150" ref="A82"/>
    <hyperlink r:id="rId151" ref="C82"/>
    <hyperlink r:id="rId152" ref="A83"/>
    <hyperlink r:id="rId153" ref="C83"/>
    <hyperlink r:id="rId154" ref="A84"/>
    <hyperlink r:id="rId155" ref="C84"/>
    <hyperlink r:id="rId156" ref="A85"/>
    <hyperlink r:id="rId157" ref="C85"/>
    <hyperlink r:id="rId158" ref="A86"/>
    <hyperlink r:id="rId159" ref="C86"/>
    <hyperlink r:id="rId160" ref="A87"/>
    <hyperlink r:id="rId161" ref="C87"/>
    <hyperlink r:id="rId162" ref="A88"/>
    <hyperlink r:id="rId163" ref="C88"/>
    <hyperlink r:id="rId164" ref="A89"/>
    <hyperlink r:id="rId165" ref="C89"/>
    <hyperlink r:id="rId166" ref="A90"/>
    <hyperlink r:id="rId167" ref="C90"/>
    <hyperlink r:id="rId168" ref="A91"/>
    <hyperlink r:id="rId169" ref="C91"/>
    <hyperlink r:id="rId170" ref="A92"/>
    <hyperlink r:id="rId171" ref="C92"/>
    <hyperlink r:id="rId172" ref="C93"/>
    <hyperlink r:id="rId173" ref="A94"/>
    <hyperlink r:id="rId174" ref="C94"/>
    <hyperlink r:id="rId175" location=":~:text=The%20microfactory%20will%20give%20discarded,waste%20from%20going%20to%20landfills." ref="A95"/>
    <hyperlink r:id="rId176" location=":~:text=The%20microfactory%20will%20give%20discarded,waste%20from%20going%20to%20landfills." ref="C95"/>
    <hyperlink r:id="rId177" ref="C96"/>
    <hyperlink r:id="rId178" ref="A97"/>
    <hyperlink r:id="rId179" ref="C97"/>
    <hyperlink r:id="rId180" ref="C98"/>
    <hyperlink r:id="rId181" ref="A99"/>
    <hyperlink r:id="rId182" ref="C99"/>
    <hyperlink r:id="rId183" ref="A100"/>
    <hyperlink r:id="rId184" ref="C100"/>
    <hyperlink r:id="rId185" ref="A101"/>
    <hyperlink r:id="rId186" ref="C101"/>
    <hyperlink r:id="rId187" ref="A102"/>
    <hyperlink r:id="rId188" ref="C102"/>
    <hyperlink r:id="rId189" ref="A103"/>
    <hyperlink r:id="rId190" ref="C103"/>
    <hyperlink r:id="rId191" ref="C104"/>
    <hyperlink r:id="rId192" ref="A105"/>
    <hyperlink r:id="rId193" ref="C105"/>
    <hyperlink r:id="rId194" ref="A106"/>
    <hyperlink r:id="rId195" ref="C106"/>
    <hyperlink r:id="rId196" ref="C107"/>
    <hyperlink r:id="rId197" ref="A108"/>
    <hyperlink r:id="rId198" ref="C108"/>
    <hyperlink r:id="rId199" ref="A109"/>
    <hyperlink r:id="rId200" ref="C109"/>
    <hyperlink r:id="rId201" ref="A110"/>
    <hyperlink r:id="rId202" ref="C110"/>
    <hyperlink r:id="rId203" ref="C111"/>
    <hyperlink r:id="rId204" ref="A112"/>
    <hyperlink r:id="rId205" ref="C112"/>
    <hyperlink r:id="rId206" ref="A113"/>
    <hyperlink r:id="rId207" ref="C113"/>
    <hyperlink r:id="rId208" ref="A114"/>
    <hyperlink r:id="rId209" ref="C114"/>
    <hyperlink r:id="rId210" ref="C115"/>
    <hyperlink r:id="rId211" ref="C116"/>
    <hyperlink r:id="rId212" ref="C117"/>
    <hyperlink r:id="rId213" ref="C118"/>
    <hyperlink r:id="rId214" ref="C119"/>
  </hyperlinks>
  <printOptions gridLines="1" horizontalCentered="1"/>
  <pageMargins bottom="0.75" footer="0.0" header="0.0" left="0.7" right="0.7" top="0.75"/>
  <pageSetup fitToHeight="0" cellComments="atEnd" orientation="landscape" pageOrder="overThenDown"/>
  <drawing r:id="rId215"/>
  <legacyDrawing r:id="rId216"/>
  <tableParts count="2">
    <tablePart r:id="rId219"/>
    <tablePart r:id="rId22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38"/>
    <col customWidth="1" min="2" max="2" width="7.5"/>
    <col customWidth="1" min="3" max="4" width="9.38"/>
    <col customWidth="1" min="5" max="5" width="8.13"/>
    <col customWidth="1" min="6" max="6" width="8.63"/>
    <col customWidth="1" min="7" max="7" width="9.5"/>
    <col customWidth="1" min="8" max="8" width="15.88"/>
    <col customWidth="1" min="9" max="9" width="12.0"/>
    <col customWidth="1" min="10" max="10" width="8.13"/>
    <col customWidth="1" min="11" max="11" width="8.5"/>
    <col customWidth="1" min="12" max="12" width="9.38"/>
    <col customWidth="1" min="13" max="13" width="16.38"/>
    <col customWidth="1" min="14" max="14" width="11.75"/>
  </cols>
  <sheetData>
    <row r="1">
      <c r="A1" s="110" t="s">
        <v>0</v>
      </c>
      <c r="B1" s="111" t="s">
        <v>1</v>
      </c>
      <c r="E1" s="54"/>
      <c r="F1" s="54"/>
      <c r="G1" s="54"/>
      <c r="H1" s="112"/>
      <c r="I1" s="54"/>
      <c r="M1" s="106"/>
    </row>
    <row r="2">
      <c r="A2" s="3"/>
      <c r="B2" s="4"/>
      <c r="C2" s="3"/>
      <c r="D2" s="3"/>
      <c r="E2" s="5" t="s">
        <v>2</v>
      </c>
      <c r="J2" s="6" t="s">
        <v>3</v>
      </c>
      <c r="O2" s="7"/>
      <c r="P2" s="7"/>
      <c r="Q2" s="7"/>
      <c r="R2" s="7"/>
      <c r="S2" s="7"/>
      <c r="T2" s="7"/>
      <c r="U2" s="7"/>
      <c r="V2" s="7"/>
      <c r="W2" s="7"/>
      <c r="X2" s="7"/>
      <c r="Y2" s="7"/>
      <c r="Z2" s="7"/>
      <c r="AA2" s="7"/>
    </row>
    <row r="3">
      <c r="A3" s="8" t="s">
        <v>6</v>
      </c>
      <c r="B3" s="9" t="s">
        <v>233</v>
      </c>
      <c r="C3" s="3" t="s">
        <v>8</v>
      </c>
      <c r="D3" s="3" t="s">
        <v>234</v>
      </c>
      <c r="E3" s="10" t="s">
        <v>11</v>
      </c>
      <c r="F3" s="10" t="s">
        <v>12</v>
      </c>
      <c r="G3" s="10" t="s">
        <v>13</v>
      </c>
      <c r="H3" s="11" t="s">
        <v>14</v>
      </c>
      <c r="I3" s="10" t="s">
        <v>15</v>
      </c>
      <c r="J3" s="12" t="s">
        <v>11</v>
      </c>
      <c r="K3" s="12" t="s">
        <v>12</v>
      </c>
      <c r="L3" s="12" t="s">
        <v>13</v>
      </c>
      <c r="M3" s="13" t="s">
        <v>16</v>
      </c>
      <c r="N3" s="12" t="s">
        <v>17</v>
      </c>
      <c r="O3" s="14"/>
      <c r="P3" s="14"/>
      <c r="Q3" s="14"/>
      <c r="R3" s="14"/>
      <c r="S3" s="14"/>
      <c r="T3" s="14"/>
      <c r="U3" s="14"/>
      <c r="V3" s="14"/>
      <c r="W3" s="14"/>
      <c r="X3" s="14"/>
      <c r="Y3" s="14"/>
      <c r="Z3" s="14"/>
      <c r="AA3" s="14"/>
    </row>
    <row r="4">
      <c r="A4" s="17" t="s">
        <v>113</v>
      </c>
      <c r="B4" s="18" t="s">
        <v>20</v>
      </c>
      <c r="C4" s="18" t="s">
        <v>24</v>
      </c>
      <c r="D4" s="18"/>
      <c r="E4" s="34">
        <v>284.0</v>
      </c>
      <c r="F4" s="34">
        <v>353.0</v>
      </c>
      <c r="G4" s="34">
        <v>309.0</v>
      </c>
      <c r="H4" s="20">
        <v>4.050925925925926E-4</v>
      </c>
      <c r="I4" s="21">
        <v>0.3144</v>
      </c>
      <c r="J4" s="42">
        <v>284.0</v>
      </c>
      <c r="K4" s="42">
        <v>353.0</v>
      </c>
      <c r="L4" s="42">
        <v>395.0</v>
      </c>
      <c r="M4" s="23">
        <v>4.050925925925926E-4</v>
      </c>
      <c r="N4" s="24">
        <v>0.3144</v>
      </c>
    </row>
    <row r="5">
      <c r="A5" s="67" t="s">
        <v>69</v>
      </c>
      <c r="B5" s="18" t="s">
        <v>20</v>
      </c>
      <c r="C5" s="18" t="s">
        <v>24</v>
      </c>
      <c r="D5" s="18"/>
      <c r="E5" s="34">
        <v>361.0</v>
      </c>
      <c r="F5" s="34">
        <v>413.0</v>
      </c>
      <c r="G5" s="34">
        <v>461.0</v>
      </c>
      <c r="H5" s="20">
        <v>7.986111111111112E-4</v>
      </c>
      <c r="I5" s="21">
        <v>0.2712</v>
      </c>
      <c r="J5" s="42">
        <v>361.0</v>
      </c>
      <c r="K5" s="42">
        <v>413.0</v>
      </c>
      <c r="L5" s="42">
        <v>461.0</v>
      </c>
      <c r="M5" s="23">
        <v>7.986111111111112E-4</v>
      </c>
      <c r="N5" s="24">
        <v>0.2712</v>
      </c>
    </row>
    <row r="6">
      <c r="A6" s="67" t="s">
        <v>162</v>
      </c>
      <c r="B6" s="18" t="s">
        <v>20</v>
      </c>
      <c r="C6" s="18" t="s">
        <v>24</v>
      </c>
      <c r="D6" s="18"/>
      <c r="E6" s="34">
        <v>212.0</v>
      </c>
      <c r="F6" s="34">
        <v>244.0</v>
      </c>
      <c r="G6" s="34">
        <v>280.0</v>
      </c>
      <c r="H6" s="20">
        <v>6.597222222222222E-4</v>
      </c>
      <c r="I6" s="21">
        <v>0.3033</v>
      </c>
      <c r="J6" s="42">
        <v>212.0</v>
      </c>
      <c r="K6" s="42">
        <v>244.0</v>
      </c>
      <c r="L6" s="42">
        <v>280.0</v>
      </c>
      <c r="M6" s="23">
        <v>6.597222222222222E-4</v>
      </c>
      <c r="N6" s="24">
        <v>0.3033</v>
      </c>
    </row>
    <row r="7">
      <c r="A7" s="67" t="s">
        <v>39</v>
      </c>
      <c r="B7" s="18" t="s">
        <v>20</v>
      </c>
      <c r="C7" s="18" t="s">
        <v>24</v>
      </c>
      <c r="D7" s="18"/>
      <c r="E7" s="19">
        <v>1270.0</v>
      </c>
      <c r="F7" s="19">
        <v>1419.0</v>
      </c>
      <c r="G7" s="19">
        <v>1526.0</v>
      </c>
      <c r="H7" s="20">
        <v>5.902777777777778E-4</v>
      </c>
      <c r="I7" s="21">
        <v>0.4094</v>
      </c>
      <c r="J7" s="22">
        <v>1273.0</v>
      </c>
      <c r="K7" s="22">
        <v>1422.0</v>
      </c>
      <c r="L7" s="22">
        <v>1529.0</v>
      </c>
      <c r="M7" s="23">
        <v>5.902777777777778E-4</v>
      </c>
      <c r="N7" s="24">
        <v>0.41</v>
      </c>
    </row>
    <row r="8">
      <c r="A8" s="67" t="s">
        <v>85</v>
      </c>
      <c r="B8" s="18" t="s">
        <v>20</v>
      </c>
      <c r="C8" s="18" t="s">
        <v>24</v>
      </c>
      <c r="D8" s="18"/>
      <c r="E8" s="34">
        <v>355.0</v>
      </c>
      <c r="F8" s="34">
        <v>482.0</v>
      </c>
      <c r="G8" s="34">
        <v>587.0</v>
      </c>
      <c r="H8" s="20">
        <v>5.324074074074074E-4</v>
      </c>
      <c r="I8" s="21">
        <v>0.3527</v>
      </c>
      <c r="J8" s="42">
        <v>358.0</v>
      </c>
      <c r="K8" s="42">
        <v>485.0</v>
      </c>
      <c r="L8" s="42">
        <v>590.0</v>
      </c>
      <c r="M8" s="23">
        <v>5.324074074074074E-4</v>
      </c>
      <c r="N8" s="24">
        <v>0.3505</v>
      </c>
    </row>
    <row r="9">
      <c r="A9" s="17" t="s">
        <v>75</v>
      </c>
      <c r="B9" s="18" t="s">
        <v>20</v>
      </c>
      <c r="C9" s="18" t="s">
        <v>24</v>
      </c>
      <c r="D9" s="18"/>
      <c r="E9" s="34">
        <v>461.0</v>
      </c>
      <c r="F9" s="34">
        <v>612.0</v>
      </c>
      <c r="G9" s="34">
        <v>705.0</v>
      </c>
      <c r="H9" s="20">
        <v>4.7453703703703704E-4</v>
      </c>
      <c r="I9" s="21">
        <v>0.4248</v>
      </c>
      <c r="J9" s="42">
        <v>469.0</v>
      </c>
      <c r="K9" s="42">
        <v>623.0</v>
      </c>
      <c r="L9" s="42">
        <v>717.0</v>
      </c>
      <c r="M9" s="23">
        <v>4.7453703703703704E-4</v>
      </c>
      <c r="N9" s="24">
        <v>0.4222</v>
      </c>
    </row>
    <row r="10">
      <c r="A10" s="17" t="s">
        <v>111</v>
      </c>
      <c r="B10" s="18" t="s">
        <v>20</v>
      </c>
      <c r="C10" s="18" t="s">
        <v>24</v>
      </c>
      <c r="D10" s="18"/>
      <c r="E10" s="34">
        <v>337.0</v>
      </c>
      <c r="F10" s="34">
        <v>428.0</v>
      </c>
      <c r="G10" s="34">
        <v>487.0</v>
      </c>
      <c r="H10" s="66">
        <v>4.62962962962963E-4</v>
      </c>
      <c r="I10" s="21">
        <v>0.4603</v>
      </c>
      <c r="J10" s="42">
        <v>538.0</v>
      </c>
      <c r="K10" s="42">
        <v>668.0</v>
      </c>
      <c r="L10" s="42">
        <v>739.0</v>
      </c>
      <c r="M10" s="23">
        <v>4.62962962962963E-4</v>
      </c>
      <c r="N10" s="24">
        <v>0.4251</v>
      </c>
    </row>
    <row r="11">
      <c r="A11" s="17" t="s">
        <v>81</v>
      </c>
      <c r="B11" s="18" t="s">
        <v>20</v>
      </c>
      <c r="C11" s="18" t="s">
        <v>21</v>
      </c>
      <c r="D11" s="18"/>
      <c r="E11" s="34">
        <v>469.0</v>
      </c>
      <c r="F11" s="34">
        <v>584.0</v>
      </c>
      <c r="G11" s="34">
        <v>681.0</v>
      </c>
      <c r="H11" s="20">
        <v>3.935185185185185E-4</v>
      </c>
      <c r="I11" s="21">
        <v>0.4264</v>
      </c>
      <c r="J11" s="42">
        <v>499.0</v>
      </c>
      <c r="K11" s="42">
        <v>626.0</v>
      </c>
      <c r="L11" s="42">
        <v>725.0</v>
      </c>
      <c r="M11" s="23">
        <v>3.7037037037037035E-4</v>
      </c>
      <c r="N11" s="24">
        <v>0.4249</v>
      </c>
    </row>
    <row r="12">
      <c r="A12" s="17" t="s">
        <v>134</v>
      </c>
      <c r="B12" s="18" t="s">
        <v>20</v>
      </c>
      <c r="C12" s="18" t="s">
        <v>21</v>
      </c>
      <c r="D12" s="18"/>
      <c r="E12" s="34">
        <v>297.0</v>
      </c>
      <c r="F12" s="34">
        <v>346.0</v>
      </c>
      <c r="G12" s="34">
        <v>401.0</v>
      </c>
      <c r="H12" s="20">
        <v>5.439814814814814E-4</v>
      </c>
      <c r="I12" s="21">
        <v>0.4566</v>
      </c>
      <c r="J12" s="42">
        <v>331.0</v>
      </c>
      <c r="K12" s="42">
        <v>389.0</v>
      </c>
      <c r="L12" s="42">
        <v>447.0</v>
      </c>
      <c r="M12" s="23">
        <v>5.324074074074074E-4</v>
      </c>
      <c r="N12" s="24">
        <v>0.4447</v>
      </c>
    </row>
    <row r="13">
      <c r="A13" s="17" t="s">
        <v>235</v>
      </c>
      <c r="B13" s="18" t="s">
        <v>20</v>
      </c>
      <c r="C13" s="18" t="s">
        <v>21</v>
      </c>
      <c r="D13" s="18"/>
      <c r="E13" s="34">
        <v>592.0</v>
      </c>
      <c r="F13" s="34">
        <v>710.0</v>
      </c>
      <c r="G13" s="34">
        <v>805.0</v>
      </c>
      <c r="H13" s="20">
        <v>5.902777777777778E-4</v>
      </c>
      <c r="I13" s="21">
        <v>0.2803</v>
      </c>
      <c r="J13" s="42">
        <v>868.0</v>
      </c>
      <c r="K13" s="22">
        <v>1071.0</v>
      </c>
      <c r="L13" s="22">
        <v>1218.0</v>
      </c>
      <c r="M13" s="23">
        <v>5.671296296296297E-4</v>
      </c>
      <c r="N13" s="24">
        <v>0.2278</v>
      </c>
    </row>
    <row r="14">
      <c r="A14" s="17" t="s">
        <v>236</v>
      </c>
      <c r="E14" s="79"/>
      <c r="F14" s="79"/>
      <c r="G14" s="79"/>
      <c r="H14" s="113"/>
      <c r="I14" s="79"/>
      <c r="J14" s="80"/>
      <c r="K14" s="80"/>
      <c r="L14" s="80"/>
      <c r="M14" s="114"/>
      <c r="N14" s="80"/>
    </row>
    <row r="15">
      <c r="A15" s="17" t="s">
        <v>237</v>
      </c>
      <c r="E15" s="79"/>
      <c r="F15" s="79"/>
      <c r="G15" s="79"/>
      <c r="H15" s="113"/>
      <c r="I15" s="79"/>
      <c r="J15" s="80"/>
      <c r="K15" s="80"/>
      <c r="L15" s="80"/>
      <c r="M15" s="114"/>
      <c r="N15" s="80"/>
    </row>
    <row r="16">
      <c r="A16" s="17" t="s">
        <v>238</v>
      </c>
      <c r="E16" s="79"/>
      <c r="F16" s="79"/>
      <c r="G16" s="79"/>
      <c r="H16" s="113"/>
      <c r="I16" s="79"/>
      <c r="J16" s="80"/>
      <c r="K16" s="80"/>
      <c r="L16" s="80"/>
      <c r="M16" s="114"/>
      <c r="N16" s="80"/>
    </row>
    <row r="17">
      <c r="A17" s="17" t="s">
        <v>239</v>
      </c>
      <c r="B17" s="18" t="s">
        <v>20</v>
      </c>
      <c r="C17" s="18" t="s">
        <v>21</v>
      </c>
      <c r="D17" s="18"/>
      <c r="E17" s="19">
        <v>1315.0</v>
      </c>
      <c r="F17" s="19">
        <v>1609.0</v>
      </c>
      <c r="G17" s="19">
        <v>1839.0</v>
      </c>
      <c r="H17" s="20">
        <v>2.777777777777778E-4</v>
      </c>
      <c r="I17" s="21">
        <v>0.56</v>
      </c>
      <c r="J17" s="22">
        <v>1604.0</v>
      </c>
      <c r="K17" s="22">
        <v>1995.0</v>
      </c>
      <c r="L17" s="22">
        <v>2269.0</v>
      </c>
      <c r="M17" s="23">
        <v>2.8935185185185184E-4</v>
      </c>
      <c r="N17" s="24">
        <v>0.5163</v>
      </c>
    </row>
    <row r="18">
      <c r="A18" s="17" t="s">
        <v>33</v>
      </c>
      <c r="B18" s="18" t="s">
        <v>20</v>
      </c>
      <c r="C18" s="18" t="s">
        <v>21</v>
      </c>
      <c r="D18" s="18"/>
      <c r="E18" s="19">
        <v>1327.0</v>
      </c>
      <c r="F18" s="19">
        <v>1628.0</v>
      </c>
      <c r="G18" s="19">
        <v>1860.0</v>
      </c>
      <c r="H18" s="20">
        <v>2.777777777777778E-4</v>
      </c>
      <c r="I18" s="21">
        <v>0.5584</v>
      </c>
      <c r="J18" s="22">
        <v>1547.0</v>
      </c>
      <c r="K18" s="22">
        <v>1916.0</v>
      </c>
      <c r="L18" s="22">
        <v>2178.0</v>
      </c>
      <c r="M18" s="23">
        <v>2.8935185185185184E-4</v>
      </c>
      <c r="N18" s="24">
        <v>0.5261</v>
      </c>
    </row>
    <row r="19">
      <c r="A19" s="17" t="s">
        <v>180</v>
      </c>
      <c r="B19" s="18" t="s">
        <v>20</v>
      </c>
      <c r="C19" s="18" t="s">
        <v>21</v>
      </c>
      <c r="D19" s="18"/>
      <c r="E19" s="34">
        <v>191.0</v>
      </c>
      <c r="F19" s="34">
        <v>210.0</v>
      </c>
      <c r="G19" s="34">
        <v>229.0</v>
      </c>
      <c r="H19" s="20">
        <v>3.125E-4</v>
      </c>
      <c r="I19" s="21">
        <v>0.4524</v>
      </c>
      <c r="J19" s="42">
        <v>202.0</v>
      </c>
      <c r="K19" s="42">
        <v>234.0</v>
      </c>
      <c r="L19" s="42">
        <v>255.0</v>
      </c>
      <c r="M19" s="23">
        <v>2.8935185185185184E-4</v>
      </c>
      <c r="N19" s="24">
        <v>0.4487</v>
      </c>
    </row>
    <row r="20">
      <c r="A20" s="17" t="s">
        <v>43</v>
      </c>
      <c r="B20" s="18" t="s">
        <v>20</v>
      </c>
      <c r="C20" s="18" t="s">
        <v>24</v>
      </c>
      <c r="D20" s="18"/>
      <c r="E20" s="19">
        <v>1034.0</v>
      </c>
      <c r="F20" s="19">
        <v>1143.0</v>
      </c>
      <c r="G20" s="19">
        <v>1215.0</v>
      </c>
      <c r="H20" s="20">
        <v>7.986111111111112E-4</v>
      </c>
      <c r="I20" s="21">
        <v>0.4611</v>
      </c>
      <c r="J20" s="22">
        <v>1353.0</v>
      </c>
      <c r="K20" s="22">
        <v>1496.0</v>
      </c>
      <c r="L20" s="22">
        <v>1601.0</v>
      </c>
      <c r="M20" s="23">
        <v>7.986111111111112E-4</v>
      </c>
      <c r="N20" s="24">
        <v>0.4398</v>
      </c>
    </row>
    <row r="21">
      <c r="A21" s="17" t="s">
        <v>107</v>
      </c>
      <c r="B21" s="18" t="s">
        <v>20</v>
      </c>
      <c r="C21" s="18" t="s">
        <v>24</v>
      </c>
      <c r="D21" s="18"/>
      <c r="E21" s="34">
        <v>358.0</v>
      </c>
      <c r="F21" s="34">
        <v>457.0</v>
      </c>
      <c r="G21" s="34">
        <v>499.0</v>
      </c>
      <c r="H21" s="20">
        <v>3.0092592592592595E-4</v>
      </c>
      <c r="I21" s="21">
        <v>0.4333</v>
      </c>
      <c r="J21" s="42">
        <v>396.0</v>
      </c>
      <c r="K21" s="42">
        <v>507.0</v>
      </c>
      <c r="L21" s="42">
        <v>552.0</v>
      </c>
      <c r="M21" s="23">
        <v>3.0092592592592595E-4</v>
      </c>
      <c r="N21" s="24">
        <v>0.4398</v>
      </c>
    </row>
    <row r="22">
      <c r="A22" s="17" t="s">
        <v>54</v>
      </c>
      <c r="B22" s="18" t="s">
        <v>20</v>
      </c>
      <c r="C22" s="18" t="s">
        <v>21</v>
      </c>
      <c r="D22" s="18"/>
      <c r="E22" s="34">
        <v>705.0</v>
      </c>
      <c r="F22" s="34">
        <v>841.0</v>
      </c>
      <c r="G22" s="34">
        <v>924.0</v>
      </c>
      <c r="H22" s="20">
        <v>6.25E-4</v>
      </c>
      <c r="I22" s="21">
        <v>0.3508</v>
      </c>
      <c r="J22" s="42">
        <v>767.0</v>
      </c>
      <c r="K22" s="42">
        <v>933.0</v>
      </c>
      <c r="L22" s="22">
        <v>1025.0</v>
      </c>
      <c r="M22" s="23">
        <v>5.902777777777778E-4</v>
      </c>
      <c r="N22" s="24">
        <v>0.3441</v>
      </c>
    </row>
    <row r="23">
      <c r="A23" s="17" t="s">
        <v>105</v>
      </c>
      <c r="B23" s="18" t="s">
        <v>20</v>
      </c>
      <c r="C23" s="18" t="s">
        <v>24</v>
      </c>
      <c r="D23" s="18"/>
      <c r="E23" s="34">
        <v>365.0</v>
      </c>
      <c r="F23" s="34">
        <v>446.0</v>
      </c>
      <c r="G23" s="34">
        <v>503.0</v>
      </c>
      <c r="H23" s="20">
        <v>6.25E-4</v>
      </c>
      <c r="I23" s="21">
        <v>0.3498</v>
      </c>
      <c r="J23" s="42">
        <v>387.0</v>
      </c>
      <c r="K23" s="42">
        <v>477.0</v>
      </c>
      <c r="L23" s="42">
        <v>539.0</v>
      </c>
      <c r="M23" s="23">
        <v>6.134259259259259E-4</v>
      </c>
      <c r="N23" s="24">
        <v>0.3417</v>
      </c>
    </row>
    <row r="24">
      <c r="A24" s="17" t="s">
        <v>62</v>
      </c>
      <c r="B24" s="18" t="s">
        <v>20</v>
      </c>
      <c r="C24" s="18" t="s">
        <v>24</v>
      </c>
      <c r="D24" s="18"/>
      <c r="E24" s="34">
        <v>641.0</v>
      </c>
      <c r="F24" s="34">
        <v>711.0</v>
      </c>
      <c r="G24" s="34">
        <v>840.0</v>
      </c>
      <c r="H24" s="20">
        <v>4.976851851851852E-4</v>
      </c>
      <c r="I24" s="21">
        <v>0.1491</v>
      </c>
      <c r="J24" s="42">
        <v>704.0</v>
      </c>
      <c r="K24" s="42">
        <v>798.0</v>
      </c>
      <c r="L24" s="42">
        <v>945.0</v>
      </c>
      <c r="M24" s="23">
        <v>4.861111111111111E-4</v>
      </c>
      <c r="N24" s="24">
        <v>0.1591</v>
      </c>
    </row>
    <row r="25">
      <c r="A25" s="17" t="s">
        <v>37</v>
      </c>
      <c r="B25" s="18" t="s">
        <v>20</v>
      </c>
      <c r="C25" s="18" t="s">
        <v>21</v>
      </c>
      <c r="D25" s="18"/>
      <c r="E25" s="19">
        <v>1154.0</v>
      </c>
      <c r="F25" s="19">
        <v>1356.0</v>
      </c>
      <c r="G25" s="19">
        <v>1519.0</v>
      </c>
      <c r="H25" s="20">
        <v>1.9675925925925926E-4</v>
      </c>
      <c r="I25" s="21">
        <v>0.6379</v>
      </c>
      <c r="J25" s="22">
        <v>1333.0</v>
      </c>
      <c r="K25" s="22">
        <v>1607.0</v>
      </c>
      <c r="L25" s="22">
        <v>1790.0</v>
      </c>
      <c r="M25" s="23">
        <v>1.9675925925925926E-4</v>
      </c>
      <c r="N25" s="24">
        <v>0.6297</v>
      </c>
    </row>
    <row r="26">
      <c r="A26" s="17" t="s">
        <v>115</v>
      </c>
      <c r="B26" s="18" t="s">
        <v>20</v>
      </c>
      <c r="C26" s="18" t="s">
        <v>24</v>
      </c>
      <c r="D26" s="18"/>
      <c r="E26" s="34">
        <v>361.0</v>
      </c>
      <c r="F26" s="34">
        <v>421.0</v>
      </c>
      <c r="G26" s="34">
        <v>482.0</v>
      </c>
      <c r="H26" s="20">
        <v>5.092592592592592E-4</v>
      </c>
      <c r="I26" s="21">
        <v>0.3207</v>
      </c>
      <c r="J26" s="42">
        <v>409.0</v>
      </c>
      <c r="K26" s="42">
        <v>480.0</v>
      </c>
      <c r="L26" s="42">
        <v>548.0</v>
      </c>
      <c r="M26" s="23">
        <v>4.861111111111111E-4</v>
      </c>
      <c r="N26" s="24">
        <v>0.3167</v>
      </c>
    </row>
    <row r="27">
      <c r="A27" s="17" t="s">
        <v>136</v>
      </c>
      <c r="B27" s="18" t="s">
        <v>20</v>
      </c>
      <c r="C27" s="18" t="s">
        <v>21</v>
      </c>
      <c r="D27" s="18"/>
      <c r="E27" s="34">
        <v>299.0</v>
      </c>
      <c r="F27" s="34">
        <v>341.0</v>
      </c>
      <c r="G27" s="34">
        <v>396.0</v>
      </c>
      <c r="H27" s="20">
        <v>3.935185185185185E-4</v>
      </c>
      <c r="I27" s="21">
        <v>0.4516</v>
      </c>
      <c r="J27" s="42">
        <v>322.0</v>
      </c>
      <c r="K27" s="42">
        <v>368.0</v>
      </c>
      <c r="L27" s="42">
        <v>426.0</v>
      </c>
      <c r="M27" s="23">
        <v>4.050925925925926E-4</v>
      </c>
      <c r="N27" s="24">
        <v>0.4402</v>
      </c>
    </row>
    <row r="28">
      <c r="A28" s="17" t="s">
        <v>151</v>
      </c>
      <c r="B28" s="18" t="s">
        <v>20</v>
      </c>
      <c r="C28" s="18" t="s">
        <v>21</v>
      </c>
      <c r="D28" s="18"/>
      <c r="E28" s="34">
        <v>272.0</v>
      </c>
      <c r="F28" s="34">
        <v>321.0</v>
      </c>
      <c r="G28" s="34">
        <v>352.0</v>
      </c>
      <c r="H28" s="20">
        <v>3.356481481481481E-4</v>
      </c>
      <c r="I28" s="21">
        <v>0.4642</v>
      </c>
      <c r="J28" s="42">
        <v>314.0</v>
      </c>
      <c r="K28" s="42">
        <v>387.0</v>
      </c>
      <c r="L28" s="42">
        <v>419.0</v>
      </c>
      <c r="M28" s="23">
        <v>3.0092592592592595E-4</v>
      </c>
      <c r="N28" s="24">
        <v>0.4419</v>
      </c>
    </row>
    <row r="29">
      <c r="A29" s="17" t="s">
        <v>73</v>
      </c>
      <c r="B29" s="18" t="s">
        <v>20</v>
      </c>
      <c r="C29" s="18" t="s">
        <v>21</v>
      </c>
      <c r="D29" s="18"/>
      <c r="E29" s="34">
        <v>540.0</v>
      </c>
      <c r="F29" s="34">
        <v>629.0</v>
      </c>
      <c r="G29" s="34">
        <v>709.0</v>
      </c>
      <c r="H29" s="20">
        <v>5.092592592592592E-4</v>
      </c>
      <c r="I29" s="21">
        <v>0.3514</v>
      </c>
      <c r="J29" s="42">
        <v>994.0</v>
      </c>
      <c r="K29" s="22">
        <v>1139.0</v>
      </c>
      <c r="L29" s="22">
        <v>1272.0</v>
      </c>
      <c r="M29" s="23">
        <v>5.555555555555556E-4</v>
      </c>
      <c r="N29" s="24">
        <v>0.3644</v>
      </c>
    </row>
    <row r="30">
      <c r="A30" s="17" t="s">
        <v>240</v>
      </c>
      <c r="B30" s="18" t="s">
        <v>20</v>
      </c>
      <c r="C30" s="18" t="s">
        <v>21</v>
      </c>
      <c r="D30" s="18"/>
      <c r="E30" s="19">
        <v>1565.0</v>
      </c>
      <c r="F30" s="19">
        <v>1885.0</v>
      </c>
      <c r="G30" s="19">
        <v>2088.0</v>
      </c>
      <c r="H30" s="20">
        <v>3.125E-4</v>
      </c>
      <c r="I30" s="21">
        <v>0.4679</v>
      </c>
      <c r="J30" s="22">
        <v>1744.0</v>
      </c>
      <c r="K30" s="22">
        <v>2177.0</v>
      </c>
      <c r="L30" s="22">
        <v>2424.0</v>
      </c>
      <c r="M30" s="23">
        <v>3.2407407407407406E-4</v>
      </c>
      <c r="N30" s="24">
        <v>0.4511</v>
      </c>
    </row>
    <row r="31">
      <c r="A31" s="17" t="s">
        <v>45</v>
      </c>
      <c r="B31" s="18" t="s">
        <v>20</v>
      </c>
      <c r="C31" s="18" t="s">
        <v>21</v>
      </c>
      <c r="D31" s="18"/>
      <c r="E31" s="34">
        <v>836.0</v>
      </c>
      <c r="F31" s="34">
        <v>946.0</v>
      </c>
      <c r="G31" s="19">
        <v>1064.0</v>
      </c>
      <c r="H31" s="20">
        <v>4.5138888888888887E-4</v>
      </c>
      <c r="I31" s="21">
        <v>0.4704</v>
      </c>
      <c r="J31" s="42">
        <v>935.0</v>
      </c>
      <c r="K31" s="22">
        <v>1059.0</v>
      </c>
      <c r="L31" s="22">
        <v>1192.0</v>
      </c>
      <c r="M31" s="23">
        <v>4.7453703703703704E-4</v>
      </c>
      <c r="N31" s="24">
        <v>0.458</v>
      </c>
    </row>
    <row r="32">
      <c r="A32" s="17" t="s">
        <v>215</v>
      </c>
      <c r="B32" s="18" t="s">
        <v>20</v>
      </c>
      <c r="C32" s="18" t="s">
        <v>21</v>
      </c>
      <c r="D32" s="18"/>
      <c r="E32" s="34">
        <v>19.0</v>
      </c>
      <c r="F32" s="34">
        <v>23.0</v>
      </c>
      <c r="G32" s="34">
        <v>32.0</v>
      </c>
      <c r="H32" s="20">
        <v>1.273148148148148E-4</v>
      </c>
      <c r="I32" s="21">
        <v>0.1739</v>
      </c>
      <c r="J32" s="42">
        <v>32.0</v>
      </c>
      <c r="K32" s="42">
        <v>37.0</v>
      </c>
      <c r="L32" s="42">
        <v>52.0</v>
      </c>
      <c r="M32" s="23">
        <v>1.273148148148148E-4</v>
      </c>
      <c r="N32" s="24">
        <v>0.1351</v>
      </c>
    </row>
    <row r="33">
      <c r="A33" s="17" t="s">
        <v>126</v>
      </c>
      <c r="B33" s="18" t="s">
        <v>20</v>
      </c>
      <c r="C33" s="18" t="s">
        <v>21</v>
      </c>
      <c r="D33" s="18"/>
      <c r="E33" s="34">
        <v>321.0</v>
      </c>
      <c r="F33" s="34">
        <v>388.0</v>
      </c>
      <c r="G33" s="34">
        <v>426.0</v>
      </c>
      <c r="H33" s="20">
        <v>4.5138888888888887E-4</v>
      </c>
      <c r="I33" s="21">
        <v>0.317</v>
      </c>
      <c r="J33" s="42">
        <v>403.0</v>
      </c>
      <c r="K33" s="42">
        <v>487.0</v>
      </c>
      <c r="L33" s="42">
        <v>543.0</v>
      </c>
      <c r="M33" s="23">
        <v>4.398148148148148E-4</v>
      </c>
      <c r="N33" s="24">
        <v>0.3039</v>
      </c>
    </row>
    <row r="34">
      <c r="A34" s="17" t="s">
        <v>124</v>
      </c>
      <c r="B34" s="18" t="s">
        <v>20</v>
      </c>
      <c r="C34" s="18" t="s">
        <v>21</v>
      </c>
      <c r="D34" s="18"/>
      <c r="E34" s="34">
        <v>339.0</v>
      </c>
      <c r="F34" s="34">
        <v>397.0</v>
      </c>
      <c r="G34" s="34">
        <v>448.0</v>
      </c>
      <c r="H34" s="20">
        <v>5.324074074074074E-4</v>
      </c>
      <c r="I34" s="21">
        <v>0.3854</v>
      </c>
      <c r="J34" s="42">
        <v>369.0</v>
      </c>
      <c r="K34" s="42">
        <v>430.0</v>
      </c>
      <c r="L34" s="42">
        <v>484.0</v>
      </c>
      <c r="M34" s="23">
        <v>5.208333333333333E-4</v>
      </c>
      <c r="N34" s="24">
        <v>0.3814</v>
      </c>
    </row>
    <row r="35">
      <c r="A35" s="17" t="s">
        <v>60</v>
      </c>
      <c r="B35" s="18" t="s">
        <v>20</v>
      </c>
      <c r="C35" s="18" t="s">
        <v>21</v>
      </c>
      <c r="D35" s="18"/>
      <c r="E35" s="34">
        <v>709.0</v>
      </c>
      <c r="F35" s="34">
        <v>820.0</v>
      </c>
      <c r="G35" s="34">
        <v>862.0</v>
      </c>
      <c r="H35" s="20">
        <v>4.861111111111111E-4</v>
      </c>
      <c r="I35" s="21">
        <v>0.3146</v>
      </c>
      <c r="J35" s="42">
        <v>736.0</v>
      </c>
      <c r="K35" s="42">
        <v>927.0</v>
      </c>
      <c r="L35" s="42">
        <v>974.0</v>
      </c>
      <c r="M35" s="23">
        <v>4.398148148148148E-4</v>
      </c>
      <c r="N35" s="24">
        <v>0.342</v>
      </c>
    </row>
    <row r="36">
      <c r="A36" s="17" t="s">
        <v>174</v>
      </c>
      <c r="E36" s="79"/>
      <c r="F36" s="79"/>
      <c r="G36" s="79"/>
      <c r="H36" s="113"/>
      <c r="I36" s="79"/>
      <c r="J36" s="80"/>
      <c r="K36" s="80"/>
      <c r="L36" s="80"/>
      <c r="M36" s="114"/>
      <c r="N36" s="80"/>
    </row>
    <row r="37">
      <c r="A37" s="17" t="s">
        <v>184</v>
      </c>
      <c r="E37" s="79"/>
      <c r="F37" s="79"/>
      <c r="G37" s="79"/>
      <c r="H37" s="113"/>
      <c r="I37" s="79"/>
      <c r="J37" s="80"/>
      <c r="K37" s="80"/>
      <c r="L37" s="80"/>
      <c r="M37" s="114"/>
      <c r="N37" s="80"/>
    </row>
    <row r="38">
      <c r="A38" s="17" t="s">
        <v>154</v>
      </c>
      <c r="B38" s="18" t="s">
        <v>20</v>
      </c>
      <c r="C38" s="18" t="s">
        <v>24</v>
      </c>
      <c r="D38" s="18"/>
      <c r="E38" s="34">
        <v>296.0</v>
      </c>
      <c r="F38" s="34">
        <v>319.0</v>
      </c>
      <c r="G38" s="34">
        <v>350.0</v>
      </c>
      <c r="H38" s="20">
        <v>2.777777777777778E-4</v>
      </c>
      <c r="I38" s="21">
        <v>0.5455</v>
      </c>
      <c r="J38" s="42">
        <v>351.0</v>
      </c>
      <c r="K38" s="42">
        <v>398.0</v>
      </c>
      <c r="L38" s="42">
        <v>445.0</v>
      </c>
      <c r="M38" s="23">
        <v>3.4722222222222224E-4</v>
      </c>
      <c r="N38" s="24">
        <v>0.4874</v>
      </c>
    </row>
    <row r="39">
      <c r="A39" s="17" t="s">
        <v>58</v>
      </c>
      <c r="B39" s="18" t="s">
        <v>20</v>
      </c>
      <c r="C39" s="18" t="s">
        <v>24</v>
      </c>
      <c r="D39" s="18"/>
      <c r="E39" s="34">
        <v>650.0</v>
      </c>
      <c r="F39" s="34">
        <v>797.0</v>
      </c>
      <c r="G39" s="34">
        <v>884.0</v>
      </c>
      <c r="H39" s="20">
        <v>5.208333333333333E-4</v>
      </c>
      <c r="I39" s="21">
        <v>0.7754</v>
      </c>
      <c r="J39" s="42">
        <v>750.0</v>
      </c>
      <c r="K39" s="42">
        <v>945.0</v>
      </c>
      <c r="L39" s="22">
        <v>1064.0</v>
      </c>
      <c r="M39" s="23">
        <v>5.439814814814814E-4</v>
      </c>
      <c r="N39" s="24">
        <v>0.4887</v>
      </c>
    </row>
    <row r="40">
      <c r="A40" s="17" t="s">
        <v>241</v>
      </c>
      <c r="B40" s="18"/>
      <c r="C40" s="18"/>
      <c r="D40" s="18"/>
      <c r="E40" s="79"/>
      <c r="F40" s="79"/>
      <c r="G40" s="79"/>
      <c r="H40" s="113"/>
      <c r="I40" s="79"/>
      <c r="J40" s="80"/>
      <c r="K40" s="80"/>
      <c r="L40" s="80"/>
      <c r="M40" s="114"/>
      <c r="N40" s="80"/>
    </row>
    <row r="41">
      <c r="A41" s="17" t="s">
        <v>96</v>
      </c>
      <c r="B41" s="18" t="s">
        <v>20</v>
      </c>
      <c r="C41" s="18" t="s">
        <v>24</v>
      </c>
      <c r="D41" s="18"/>
      <c r="E41" s="34">
        <v>559.0</v>
      </c>
      <c r="F41" s="34">
        <v>634.0</v>
      </c>
      <c r="G41" s="34">
        <v>696.0</v>
      </c>
      <c r="H41" s="20">
        <v>8.217592592592593E-4</v>
      </c>
      <c r="I41" s="21">
        <v>0.459</v>
      </c>
      <c r="J41" s="42">
        <v>580.0</v>
      </c>
      <c r="K41" s="42">
        <v>660.0</v>
      </c>
      <c r="L41" s="42">
        <v>737.0</v>
      </c>
      <c r="M41" s="23">
        <v>8.217592592592593E-4</v>
      </c>
      <c r="N41" s="24">
        <v>0.4499</v>
      </c>
    </row>
    <row r="42">
      <c r="A42" s="17" t="s">
        <v>117</v>
      </c>
      <c r="B42" s="18" t="s">
        <v>20</v>
      </c>
      <c r="C42" s="18" t="s">
        <v>21</v>
      </c>
      <c r="D42" s="18"/>
      <c r="E42" s="34">
        <v>324.0</v>
      </c>
      <c r="F42" s="34">
        <v>397.0</v>
      </c>
      <c r="G42" s="34">
        <v>482.0</v>
      </c>
      <c r="H42" s="20">
        <v>3.7037037037037035E-4</v>
      </c>
      <c r="I42" s="21">
        <v>0.2695</v>
      </c>
      <c r="J42" s="42">
        <v>341.0</v>
      </c>
      <c r="K42" s="42">
        <v>416.0</v>
      </c>
      <c r="L42" s="42">
        <v>501.0</v>
      </c>
      <c r="M42" s="23">
        <v>3.8194444444444446E-4</v>
      </c>
      <c r="N42" s="24">
        <v>0.2716</v>
      </c>
    </row>
    <row r="43">
      <c r="A43" s="17" t="s">
        <v>166</v>
      </c>
      <c r="B43" s="18" t="s">
        <v>20</v>
      </c>
      <c r="C43" s="18" t="s">
        <v>21</v>
      </c>
      <c r="D43" s="18"/>
      <c r="E43" s="34">
        <v>236.0</v>
      </c>
      <c r="F43" s="34">
        <v>270.0</v>
      </c>
      <c r="G43" s="34">
        <v>302.0</v>
      </c>
      <c r="H43" s="20">
        <v>2.8935185185185184E-4</v>
      </c>
      <c r="I43" s="21">
        <v>0.3556</v>
      </c>
      <c r="J43" s="42">
        <v>255.0</v>
      </c>
      <c r="K43" s="42">
        <v>300.0</v>
      </c>
      <c r="L43" s="42">
        <v>334.0</v>
      </c>
      <c r="M43" s="23">
        <v>2.8935185185185184E-4</v>
      </c>
      <c r="N43" s="24">
        <v>0.3367</v>
      </c>
    </row>
    <row r="44">
      <c r="A44" s="17" t="s">
        <v>132</v>
      </c>
      <c r="B44" s="18" t="s">
        <v>20</v>
      </c>
      <c r="C44" s="18" t="s">
        <v>21</v>
      </c>
      <c r="D44" s="18"/>
      <c r="E44" s="34">
        <v>348.0</v>
      </c>
      <c r="F44" s="34">
        <v>379.0</v>
      </c>
      <c r="G44" s="34">
        <v>417.0</v>
      </c>
      <c r="H44" s="20">
        <v>2.8935185185185184E-4</v>
      </c>
      <c r="I44" s="21">
        <v>0.409</v>
      </c>
      <c r="J44" s="42">
        <v>409.0</v>
      </c>
      <c r="K44" s="42">
        <v>454.0</v>
      </c>
      <c r="L44" s="42">
        <v>500.0</v>
      </c>
      <c r="M44" s="23">
        <v>2.777777777777778E-4</v>
      </c>
      <c r="N44" s="24">
        <v>0.3722</v>
      </c>
    </row>
    <row r="45">
      <c r="A45" s="17" t="s">
        <v>207</v>
      </c>
      <c r="B45" s="18" t="s">
        <v>20</v>
      </c>
      <c r="C45" s="18" t="s">
        <v>21</v>
      </c>
      <c r="D45" s="18"/>
      <c r="E45" s="34">
        <v>64.0</v>
      </c>
      <c r="F45" s="34">
        <v>78.0</v>
      </c>
      <c r="G45" s="34">
        <v>92.0</v>
      </c>
      <c r="H45" s="20">
        <v>4.861111111111111E-4</v>
      </c>
      <c r="I45" s="21">
        <v>0.2564</v>
      </c>
      <c r="J45" s="42">
        <v>70.0</v>
      </c>
      <c r="K45" s="42">
        <v>89.0</v>
      </c>
      <c r="L45" s="42">
        <v>104.0</v>
      </c>
      <c r="M45" s="23">
        <v>4.976851851851852E-4</v>
      </c>
      <c r="N45" s="24">
        <v>0.2247</v>
      </c>
    </row>
    <row r="46">
      <c r="A46" s="17" t="s">
        <v>201</v>
      </c>
      <c r="B46" s="18" t="s">
        <v>20</v>
      </c>
      <c r="C46" s="18" t="s">
        <v>24</v>
      </c>
      <c r="D46" s="18"/>
      <c r="E46" s="34">
        <v>89.0</v>
      </c>
      <c r="F46" s="34">
        <v>119.0</v>
      </c>
      <c r="G46" s="34">
        <v>139.0</v>
      </c>
      <c r="H46" s="20">
        <v>6.481481481481481E-4</v>
      </c>
      <c r="I46" s="21">
        <v>0.395</v>
      </c>
      <c r="J46" s="42">
        <v>115.0</v>
      </c>
      <c r="K46" s="42">
        <v>155.0</v>
      </c>
      <c r="L46" s="42">
        <v>177.0</v>
      </c>
      <c r="M46" s="23">
        <v>6.597222222222222E-4</v>
      </c>
      <c r="N46" s="24">
        <v>0.3548</v>
      </c>
    </row>
    <row r="47">
      <c r="A47" s="17" t="s">
        <v>91</v>
      </c>
      <c r="B47" s="18" t="s">
        <v>20</v>
      </c>
      <c r="C47" s="18" t="s">
        <v>24</v>
      </c>
      <c r="D47" s="18"/>
      <c r="E47" s="34">
        <v>376.0</v>
      </c>
      <c r="F47" s="34">
        <v>462.0</v>
      </c>
      <c r="G47" s="34">
        <v>554.0</v>
      </c>
      <c r="H47" s="20">
        <v>5.324074074074074E-4</v>
      </c>
      <c r="I47" s="21">
        <v>0.3571</v>
      </c>
      <c r="J47" s="42">
        <v>509.0</v>
      </c>
      <c r="K47" s="42">
        <v>651.0</v>
      </c>
      <c r="L47" s="42">
        <v>771.0</v>
      </c>
      <c r="M47" s="23">
        <v>5.902777777777778E-4</v>
      </c>
      <c r="N47" s="24">
        <v>0.3625</v>
      </c>
    </row>
    <row r="48">
      <c r="A48" s="17" t="s">
        <v>71</v>
      </c>
      <c r="B48" s="18" t="s">
        <v>20</v>
      </c>
      <c r="C48" s="18" t="s">
        <v>24</v>
      </c>
      <c r="D48" s="18"/>
      <c r="E48" s="34">
        <v>535.0</v>
      </c>
      <c r="F48" s="34">
        <v>627.0</v>
      </c>
      <c r="G48" s="34">
        <v>737.0</v>
      </c>
      <c r="H48" s="20">
        <v>6.828703703703704E-4</v>
      </c>
      <c r="I48" s="21">
        <v>0.3142</v>
      </c>
      <c r="J48" s="42">
        <v>982.0</v>
      </c>
      <c r="K48" s="22">
        <v>1154.0</v>
      </c>
      <c r="L48" s="22">
        <v>1348.0</v>
      </c>
      <c r="M48" s="23">
        <v>8.217592592592593E-4</v>
      </c>
      <c r="N48" s="24">
        <v>0.3284</v>
      </c>
    </row>
    <row r="49">
      <c r="A49" s="17" t="s">
        <v>210</v>
      </c>
      <c r="B49" s="18" t="s">
        <v>20</v>
      </c>
      <c r="C49" s="18" t="s">
        <v>21</v>
      </c>
      <c r="D49" s="18"/>
      <c r="E49" s="34">
        <v>62.0</v>
      </c>
      <c r="F49" s="34">
        <v>72.0</v>
      </c>
      <c r="G49" s="34">
        <v>84.0</v>
      </c>
      <c r="H49" s="20">
        <v>0.0011689814814814816</v>
      </c>
      <c r="I49" s="21">
        <v>0.2361</v>
      </c>
      <c r="J49" s="42">
        <v>72.0</v>
      </c>
      <c r="K49" s="42">
        <v>85.0</v>
      </c>
      <c r="L49" s="42">
        <v>97.0</v>
      </c>
      <c r="M49" s="23">
        <v>0.0010879629629629629</v>
      </c>
      <c r="N49" s="24">
        <v>0.2235</v>
      </c>
    </row>
    <row r="50">
      <c r="A50" s="17" t="s">
        <v>188</v>
      </c>
      <c r="B50" s="18" t="s">
        <v>20</v>
      </c>
      <c r="C50" s="18" t="s">
        <v>24</v>
      </c>
      <c r="D50" s="18"/>
      <c r="E50" s="34">
        <v>140.0</v>
      </c>
      <c r="F50" s="34">
        <v>157.0</v>
      </c>
      <c r="G50" s="34">
        <v>182.0</v>
      </c>
      <c r="H50" s="20">
        <v>6.25E-4</v>
      </c>
      <c r="I50" s="21">
        <v>0.3312</v>
      </c>
      <c r="J50" s="42">
        <v>170.0</v>
      </c>
      <c r="K50" s="42">
        <v>196.0</v>
      </c>
      <c r="L50" s="42">
        <v>227.0</v>
      </c>
      <c r="M50" s="23">
        <v>6.25E-4</v>
      </c>
      <c r="N50" s="24">
        <v>0.2755</v>
      </c>
    </row>
    <row r="51">
      <c r="A51" s="17" t="s">
        <v>145</v>
      </c>
      <c r="B51" s="18" t="s">
        <v>20</v>
      </c>
      <c r="C51" s="18" t="s">
        <v>21</v>
      </c>
      <c r="D51" s="18"/>
      <c r="E51" s="34">
        <v>307.0</v>
      </c>
      <c r="F51" s="34">
        <v>334.0</v>
      </c>
      <c r="G51" s="34">
        <v>371.0</v>
      </c>
      <c r="H51" s="20">
        <v>3.935185185185185E-4</v>
      </c>
      <c r="I51" s="21">
        <v>0.4281</v>
      </c>
      <c r="J51" s="42">
        <v>320.0</v>
      </c>
      <c r="K51" s="42">
        <v>350.0</v>
      </c>
      <c r="L51" s="42">
        <v>387.0</v>
      </c>
      <c r="M51" s="23">
        <v>4.050925925925926E-4</v>
      </c>
      <c r="N51" s="24">
        <v>0.4286</v>
      </c>
    </row>
    <row r="52">
      <c r="A52" s="17" t="s">
        <v>170</v>
      </c>
      <c r="B52" s="18" t="s">
        <v>20</v>
      </c>
      <c r="C52" s="18" t="s">
        <v>24</v>
      </c>
      <c r="D52" s="18"/>
      <c r="E52" s="34">
        <v>209.0</v>
      </c>
      <c r="F52" s="34">
        <v>247.0</v>
      </c>
      <c r="G52" s="34">
        <v>275.0</v>
      </c>
      <c r="H52" s="20">
        <v>2.199074074074074E-4</v>
      </c>
      <c r="I52" s="21">
        <v>0.3482</v>
      </c>
      <c r="J52" s="42">
        <v>227.0</v>
      </c>
      <c r="K52" s="42">
        <v>273.0</v>
      </c>
      <c r="L52" s="42">
        <v>301.0</v>
      </c>
      <c r="M52" s="23">
        <v>2.199074074074074E-4</v>
      </c>
      <c r="N52" s="24">
        <v>0.348</v>
      </c>
    </row>
    <row r="53">
      <c r="A53" s="17" t="s">
        <v>88</v>
      </c>
      <c r="B53" s="18" t="s">
        <v>20</v>
      </c>
      <c r="C53" s="18" t="s">
        <v>24</v>
      </c>
      <c r="D53" s="18"/>
      <c r="E53" s="34">
        <v>358.0</v>
      </c>
      <c r="F53" s="34">
        <v>440.0</v>
      </c>
      <c r="G53" s="34">
        <v>521.0</v>
      </c>
      <c r="H53" s="20">
        <v>5.439814814814814E-4</v>
      </c>
      <c r="I53" s="21">
        <v>0.3477</v>
      </c>
      <c r="J53" s="42">
        <v>630.0</v>
      </c>
      <c r="K53" s="42">
        <v>774.0</v>
      </c>
      <c r="L53" s="42">
        <v>914.0</v>
      </c>
      <c r="M53" s="23">
        <v>5.787037037037037E-4</v>
      </c>
      <c r="N53" s="24">
        <v>0.2636</v>
      </c>
    </row>
    <row r="54">
      <c r="A54" s="17" t="s">
        <v>212</v>
      </c>
      <c r="B54" s="18" t="s">
        <v>20</v>
      </c>
      <c r="C54" s="18" t="s">
        <v>21</v>
      </c>
      <c r="D54" s="18"/>
      <c r="E54" s="34">
        <v>40.0</v>
      </c>
      <c r="F54" s="34">
        <v>51.0</v>
      </c>
      <c r="G54" s="34">
        <v>59.0</v>
      </c>
      <c r="H54" s="20">
        <v>2.777777777777778E-4</v>
      </c>
      <c r="I54" s="21">
        <v>0.4118</v>
      </c>
      <c r="J54" s="42">
        <v>72.0</v>
      </c>
      <c r="K54" s="42">
        <v>89.0</v>
      </c>
      <c r="L54" s="42">
        <v>103.0</v>
      </c>
      <c r="M54" s="23">
        <v>4.976851851851852E-4</v>
      </c>
      <c r="N54" s="24">
        <v>0.3933</v>
      </c>
    </row>
    <row r="55">
      <c r="A55" s="17" t="s">
        <v>94</v>
      </c>
      <c r="B55" s="18" t="s">
        <v>20</v>
      </c>
      <c r="C55" s="18" t="s">
        <v>21</v>
      </c>
      <c r="D55" s="18"/>
      <c r="E55" s="34">
        <v>429.0</v>
      </c>
      <c r="F55" s="34">
        <v>496.0</v>
      </c>
      <c r="G55" s="34">
        <v>552.0</v>
      </c>
      <c r="H55" s="20">
        <v>3.935185185185185E-4</v>
      </c>
      <c r="I55" s="21">
        <v>0.3528</v>
      </c>
      <c r="J55" s="42">
        <v>575.0</v>
      </c>
      <c r="K55" s="42">
        <v>677.0</v>
      </c>
      <c r="L55" s="42">
        <v>746.0</v>
      </c>
      <c r="M55" s="23">
        <v>3.935185185185185E-4</v>
      </c>
      <c r="N55" s="24">
        <v>0.2984</v>
      </c>
    </row>
    <row r="56">
      <c r="A56" s="17" t="s">
        <v>100</v>
      </c>
      <c r="B56" s="18" t="s">
        <v>20</v>
      </c>
      <c r="C56" s="18" t="s">
        <v>21</v>
      </c>
      <c r="D56" s="18"/>
      <c r="E56" s="34">
        <v>382.0</v>
      </c>
      <c r="F56" s="34">
        <v>448.0</v>
      </c>
      <c r="G56" s="34">
        <v>519.0</v>
      </c>
      <c r="H56" s="20">
        <v>4.7453703703703704E-4</v>
      </c>
      <c r="I56" s="21">
        <v>0.2098</v>
      </c>
      <c r="J56" s="42">
        <v>498.0</v>
      </c>
      <c r="K56" s="42">
        <v>592.0</v>
      </c>
      <c r="L56" s="42">
        <v>673.0</v>
      </c>
      <c r="M56" s="23">
        <v>5.092592592592592E-4</v>
      </c>
      <c r="N56" s="24">
        <v>0.1892</v>
      </c>
    </row>
    <row r="57">
      <c r="A57" s="17" t="s">
        <v>130</v>
      </c>
      <c r="B57" s="18" t="s">
        <v>20</v>
      </c>
      <c r="C57" s="18" t="s">
        <v>21</v>
      </c>
      <c r="D57" s="18"/>
      <c r="E57" s="34">
        <v>359.0</v>
      </c>
      <c r="F57" s="34">
        <v>390.0</v>
      </c>
      <c r="G57" s="34">
        <v>423.0</v>
      </c>
      <c r="H57" s="20">
        <v>2.0833333333333335E-4</v>
      </c>
      <c r="I57" s="21">
        <v>0.3513</v>
      </c>
      <c r="J57" s="42">
        <v>393.0</v>
      </c>
      <c r="K57" s="42">
        <v>431.0</v>
      </c>
      <c r="L57" s="42">
        <v>468.0</v>
      </c>
      <c r="M57" s="23">
        <v>2.0833333333333335E-4</v>
      </c>
      <c r="N57" s="24">
        <v>0.3295</v>
      </c>
    </row>
    <row r="58">
      <c r="A58" s="17" t="s">
        <v>98</v>
      </c>
      <c r="B58" s="18" t="s">
        <v>20</v>
      </c>
      <c r="C58" s="18" t="s">
        <v>24</v>
      </c>
      <c r="D58" s="18"/>
      <c r="E58" s="34">
        <v>2.0</v>
      </c>
      <c r="F58" s="34">
        <v>2.0</v>
      </c>
      <c r="G58" s="34">
        <v>5.0</v>
      </c>
      <c r="H58" s="66">
        <v>1.1574074074074075E-4</v>
      </c>
      <c r="I58" s="21">
        <v>0.5</v>
      </c>
      <c r="J58" s="42">
        <v>2.0</v>
      </c>
      <c r="K58" s="42">
        <v>2.0</v>
      </c>
      <c r="L58" s="42">
        <v>5.0</v>
      </c>
      <c r="M58" s="77">
        <v>1.1574074074074075E-4</v>
      </c>
      <c r="N58" s="24">
        <v>0.5</v>
      </c>
    </row>
    <row r="59">
      <c r="A59" s="17" t="s">
        <v>138</v>
      </c>
      <c r="B59" s="18" t="s">
        <v>20</v>
      </c>
      <c r="C59" s="18" t="s">
        <v>21</v>
      </c>
      <c r="D59" s="18"/>
      <c r="E59" s="34">
        <v>306.0</v>
      </c>
      <c r="F59" s="34">
        <v>335.0</v>
      </c>
      <c r="G59" s="34">
        <v>385.0</v>
      </c>
      <c r="H59" s="20">
        <v>1.9675925925925926E-4</v>
      </c>
      <c r="I59" s="21">
        <v>0.2507</v>
      </c>
      <c r="J59" s="42">
        <v>368.0</v>
      </c>
      <c r="K59" s="42">
        <v>405.0</v>
      </c>
      <c r="L59" s="42">
        <v>465.0</v>
      </c>
      <c r="M59" s="23">
        <v>1.8518518518518518E-4</v>
      </c>
      <c r="N59" s="24">
        <v>0.2519</v>
      </c>
    </row>
    <row r="60">
      <c r="A60" s="17" t="s">
        <v>182</v>
      </c>
      <c r="B60" s="18" t="s">
        <v>20</v>
      </c>
      <c r="C60" s="18" t="s">
        <v>24</v>
      </c>
      <c r="D60" s="18"/>
      <c r="E60" s="34">
        <v>21.0</v>
      </c>
      <c r="F60" s="34">
        <v>23.0</v>
      </c>
      <c r="G60" s="34">
        <v>26.0</v>
      </c>
      <c r="H60" s="20">
        <v>5.555555555555556E-4</v>
      </c>
      <c r="I60" s="21">
        <v>0.0435</v>
      </c>
      <c r="J60" s="42">
        <v>41.0</v>
      </c>
      <c r="K60" s="42">
        <v>47.0</v>
      </c>
      <c r="L60" s="42">
        <v>55.0</v>
      </c>
      <c r="M60" s="23">
        <v>5.439814814814814E-4</v>
      </c>
      <c r="N60" s="24">
        <v>0.0426</v>
      </c>
    </row>
    <row r="61">
      <c r="A61" s="17" t="s">
        <v>67</v>
      </c>
      <c r="B61" s="18" t="s">
        <v>20</v>
      </c>
      <c r="C61" s="18" t="s">
        <v>24</v>
      </c>
      <c r="D61" s="18"/>
      <c r="E61" s="34">
        <v>123.0</v>
      </c>
      <c r="F61" s="34">
        <v>145.0</v>
      </c>
      <c r="G61" s="34">
        <v>156.0</v>
      </c>
      <c r="H61" s="20">
        <v>1.273148148148148E-4</v>
      </c>
      <c r="I61" s="21">
        <v>0.6207</v>
      </c>
      <c r="J61" s="42">
        <v>708.0</v>
      </c>
      <c r="K61" s="42">
        <v>879.0</v>
      </c>
      <c r="L61" s="42">
        <v>960.0</v>
      </c>
      <c r="M61" s="23">
        <v>3.125E-4</v>
      </c>
      <c r="N61" s="24">
        <v>0.5495</v>
      </c>
    </row>
    <row r="62">
      <c r="A62" s="17" t="s">
        <v>41</v>
      </c>
      <c r="B62" s="18" t="s">
        <v>20</v>
      </c>
      <c r="C62" s="18" t="s">
        <v>24</v>
      </c>
      <c r="D62" s="18"/>
      <c r="E62" s="34">
        <v>852.0</v>
      </c>
      <c r="F62" s="19">
        <v>1048.0</v>
      </c>
      <c r="G62" s="19">
        <v>1239.0</v>
      </c>
      <c r="H62" s="20">
        <v>7.87037037037037E-4</v>
      </c>
      <c r="I62" s="21">
        <v>0.3216</v>
      </c>
      <c r="J62" s="22">
        <v>1110.0</v>
      </c>
      <c r="K62" s="22">
        <v>1377.0</v>
      </c>
      <c r="L62" s="22">
        <v>1617.0</v>
      </c>
      <c r="M62" s="23">
        <v>6.828703703703704E-4</v>
      </c>
      <c r="N62" s="24">
        <v>0.2731</v>
      </c>
    </row>
    <row r="63">
      <c r="A63" s="17" t="s">
        <v>52</v>
      </c>
      <c r="B63" s="18" t="s">
        <v>20</v>
      </c>
      <c r="C63" s="18" t="s">
        <v>24</v>
      </c>
      <c r="D63" s="18"/>
      <c r="E63" s="34">
        <v>738.0</v>
      </c>
      <c r="F63" s="34">
        <v>873.0</v>
      </c>
      <c r="G63" s="34">
        <v>969.0</v>
      </c>
      <c r="H63" s="20">
        <v>2.546296296296296E-4</v>
      </c>
      <c r="I63" s="21">
        <v>0.5693</v>
      </c>
      <c r="J63" s="42">
        <v>894.0</v>
      </c>
      <c r="K63" s="22">
        <v>1105.0</v>
      </c>
      <c r="L63" s="22">
        <v>1220.0</v>
      </c>
      <c r="M63" s="23">
        <v>2.662037037037037E-4</v>
      </c>
      <c r="N63" s="24">
        <v>0.5204</v>
      </c>
    </row>
    <row r="64">
      <c r="A64" s="17" t="s">
        <v>178</v>
      </c>
      <c r="E64" s="79"/>
      <c r="F64" s="79"/>
      <c r="G64" s="79"/>
      <c r="H64" s="113"/>
      <c r="I64" s="79"/>
      <c r="J64" s="80"/>
      <c r="K64" s="80"/>
      <c r="L64" s="80"/>
      <c r="M64" s="114"/>
      <c r="N64" s="80"/>
    </row>
    <row r="65">
      <c r="A65" s="17" t="s">
        <v>50</v>
      </c>
      <c r="B65" s="18" t="s">
        <v>20</v>
      </c>
      <c r="C65" s="18" t="s">
        <v>21</v>
      </c>
      <c r="D65" s="18"/>
      <c r="E65" s="34">
        <v>757.0</v>
      </c>
      <c r="F65" s="34">
        <v>881.0</v>
      </c>
      <c r="G65" s="34">
        <v>972.0</v>
      </c>
      <c r="H65" s="20">
        <v>2.662037037037037E-4</v>
      </c>
      <c r="I65" s="21">
        <v>0.3712</v>
      </c>
      <c r="J65" s="42">
        <v>823.0</v>
      </c>
      <c r="K65" s="42">
        <v>982.0</v>
      </c>
      <c r="L65" s="22">
        <v>1088.0</v>
      </c>
      <c r="M65" s="23">
        <v>2.662037037037037E-4</v>
      </c>
      <c r="N65" s="24">
        <v>0.3788</v>
      </c>
    </row>
    <row r="66">
      <c r="A66" s="17" t="s">
        <v>28</v>
      </c>
      <c r="B66" s="18" t="s">
        <v>20</v>
      </c>
      <c r="C66" s="18" t="s">
        <v>21</v>
      </c>
      <c r="D66" s="18"/>
      <c r="E66" s="19">
        <v>2824.0</v>
      </c>
      <c r="F66" s="19">
        <v>3104.0</v>
      </c>
      <c r="G66" s="19">
        <v>3475.0</v>
      </c>
      <c r="H66" s="20">
        <v>3.2407407407407406E-4</v>
      </c>
      <c r="I66" s="21">
        <v>0.3904</v>
      </c>
      <c r="J66" s="22">
        <v>3939.0</v>
      </c>
      <c r="K66" s="22">
        <v>4482.0</v>
      </c>
      <c r="L66" s="22">
        <v>5025.0</v>
      </c>
      <c r="M66" s="23">
        <v>3.356481481481481E-4</v>
      </c>
      <c r="N66" s="24">
        <v>0.3677</v>
      </c>
    </row>
    <row r="67">
      <c r="A67" s="17" t="s">
        <v>220</v>
      </c>
      <c r="B67" s="18"/>
      <c r="C67" s="18"/>
      <c r="D67" s="18"/>
      <c r="E67" s="79"/>
      <c r="F67" s="79"/>
      <c r="G67" s="79"/>
      <c r="H67" s="113"/>
      <c r="I67" s="79"/>
      <c r="J67" s="80"/>
      <c r="K67" s="80"/>
      <c r="L67" s="80"/>
      <c r="M67" s="114"/>
      <c r="N67" s="80"/>
    </row>
    <row r="68">
      <c r="A68" s="17" t="s">
        <v>196</v>
      </c>
      <c r="B68" s="18" t="s">
        <v>20</v>
      </c>
      <c r="C68" s="18" t="s">
        <v>24</v>
      </c>
      <c r="D68" s="18"/>
      <c r="E68" s="34">
        <v>18.0</v>
      </c>
      <c r="F68" s="34">
        <v>19.0</v>
      </c>
      <c r="G68" s="34">
        <v>19.0</v>
      </c>
      <c r="H68" s="20">
        <v>3.125E-4</v>
      </c>
      <c r="I68" s="21">
        <v>0.3684</v>
      </c>
      <c r="J68" s="42">
        <v>216.0</v>
      </c>
      <c r="K68" s="42">
        <v>277.0</v>
      </c>
      <c r="L68" s="42">
        <v>291.0</v>
      </c>
      <c r="M68" s="23">
        <v>4.050925925925926E-4</v>
      </c>
      <c r="N68" s="24">
        <v>0.3827</v>
      </c>
    </row>
    <row r="69">
      <c r="A69" s="17" t="s">
        <v>19</v>
      </c>
      <c r="B69" s="18" t="s">
        <v>20</v>
      </c>
      <c r="C69" s="18" t="s">
        <v>21</v>
      </c>
      <c r="D69" s="18"/>
      <c r="E69" s="19">
        <v>5584.0</v>
      </c>
      <c r="F69" s="19">
        <v>6604.0</v>
      </c>
      <c r="G69" s="19">
        <v>6824.0</v>
      </c>
      <c r="H69" s="20">
        <v>2.777777777777778E-4</v>
      </c>
      <c r="I69" s="21">
        <v>0.7139</v>
      </c>
      <c r="J69" s="22">
        <v>5755.0</v>
      </c>
      <c r="K69" s="22">
        <v>6312.0</v>
      </c>
      <c r="L69" s="22">
        <v>7100.0</v>
      </c>
      <c r="M69" s="23">
        <v>2.8935185185185184E-4</v>
      </c>
      <c r="N69" s="24">
        <v>0.7015</v>
      </c>
    </row>
    <row r="70">
      <c r="A70" s="17" t="s">
        <v>23</v>
      </c>
      <c r="B70" s="18" t="s">
        <v>20</v>
      </c>
      <c r="C70" s="18" t="s">
        <v>24</v>
      </c>
      <c r="D70" s="18"/>
      <c r="E70" s="19">
        <v>5124.0</v>
      </c>
      <c r="F70" s="19">
        <v>5757.0</v>
      </c>
      <c r="G70" s="19">
        <v>6198.0</v>
      </c>
      <c r="H70" s="20">
        <v>5.324074074074074E-4</v>
      </c>
      <c r="I70" s="21">
        <v>0.6821</v>
      </c>
      <c r="J70" s="22">
        <v>6500.0</v>
      </c>
      <c r="K70" s="22">
        <v>7316.0</v>
      </c>
      <c r="L70" s="22">
        <v>7865.0</v>
      </c>
      <c r="M70" s="23">
        <v>5.555555555555556E-4</v>
      </c>
      <c r="N70" s="24">
        <v>0.6499</v>
      </c>
    </row>
    <row r="71">
      <c r="A71" s="17" t="s">
        <v>79</v>
      </c>
      <c r="B71" s="18" t="s">
        <v>20</v>
      </c>
      <c r="C71" s="18" t="s">
        <v>21</v>
      </c>
      <c r="D71" s="18"/>
      <c r="E71" s="34">
        <v>515.0</v>
      </c>
      <c r="F71" s="34">
        <v>604.0</v>
      </c>
      <c r="G71" s="34">
        <v>682.0</v>
      </c>
      <c r="H71" s="20">
        <v>3.935185185185185E-4</v>
      </c>
      <c r="I71" s="21">
        <v>0.4801</v>
      </c>
      <c r="J71" s="42">
        <v>593.0</v>
      </c>
      <c r="K71" s="42">
        <v>724.0</v>
      </c>
      <c r="L71" s="42">
        <v>814.0</v>
      </c>
      <c r="M71" s="23">
        <v>3.8194444444444446E-4</v>
      </c>
      <c r="N71" s="24">
        <v>0.4848</v>
      </c>
    </row>
    <row r="72">
      <c r="A72" s="17" t="s">
        <v>172</v>
      </c>
      <c r="B72" s="18" t="s">
        <v>20</v>
      </c>
      <c r="C72" s="18" t="s">
        <v>21</v>
      </c>
      <c r="D72" s="18"/>
      <c r="E72" s="34">
        <v>209.0</v>
      </c>
      <c r="F72" s="34">
        <v>235.0</v>
      </c>
      <c r="G72" s="34">
        <v>265.0</v>
      </c>
      <c r="H72" s="20">
        <v>6.134259259259259E-4</v>
      </c>
      <c r="I72" s="21">
        <v>0.1574</v>
      </c>
      <c r="J72" s="42">
        <v>239.0</v>
      </c>
      <c r="K72" s="42">
        <v>269.0</v>
      </c>
      <c r="L72" s="42">
        <v>301.0</v>
      </c>
      <c r="M72" s="23">
        <v>5.902777777777778E-4</v>
      </c>
      <c r="N72" s="24">
        <v>0.1822</v>
      </c>
    </row>
    <row r="73">
      <c r="A73" s="17" t="s">
        <v>205</v>
      </c>
      <c r="B73" s="18" t="s">
        <v>20</v>
      </c>
      <c r="C73" s="18" t="s">
        <v>21</v>
      </c>
      <c r="D73" s="18"/>
      <c r="E73" s="34">
        <v>81.0</v>
      </c>
      <c r="F73" s="34">
        <v>86.0</v>
      </c>
      <c r="G73" s="34">
        <v>107.0</v>
      </c>
      <c r="H73" s="20">
        <v>2.546296296296296E-4</v>
      </c>
      <c r="I73" s="21">
        <v>0.3953</v>
      </c>
      <c r="J73" s="42">
        <v>81.0</v>
      </c>
      <c r="K73" s="42">
        <v>86.0</v>
      </c>
      <c r="L73" s="42">
        <v>107.0</v>
      </c>
      <c r="M73" s="23">
        <v>2.546296296296296E-4</v>
      </c>
      <c r="N73" s="24">
        <v>0.3953</v>
      </c>
    </row>
    <row r="74">
      <c r="A74" s="17" t="s">
        <v>103</v>
      </c>
      <c r="B74" s="18" t="s">
        <v>20</v>
      </c>
      <c r="C74" s="18" t="s">
        <v>21</v>
      </c>
      <c r="D74" s="18"/>
      <c r="E74" s="34">
        <v>373.0</v>
      </c>
      <c r="F74" s="34">
        <v>427.0</v>
      </c>
      <c r="G74" s="34">
        <v>480.0</v>
      </c>
      <c r="H74" s="20">
        <v>3.4722222222222224E-4</v>
      </c>
      <c r="I74" s="21">
        <v>0.3302</v>
      </c>
      <c r="J74" s="42">
        <v>501.0</v>
      </c>
      <c r="K74" s="42">
        <v>601.0</v>
      </c>
      <c r="L74" s="42">
        <v>667.0</v>
      </c>
      <c r="M74" s="23">
        <v>3.4722222222222224E-4</v>
      </c>
      <c r="N74" s="24">
        <v>0.3311</v>
      </c>
    </row>
    <row r="75">
      <c r="A75" s="17" t="s">
        <v>168</v>
      </c>
      <c r="B75" s="18" t="s">
        <v>20</v>
      </c>
      <c r="C75" s="18" t="s">
        <v>21</v>
      </c>
      <c r="D75" s="18"/>
      <c r="E75" s="34">
        <v>218.0</v>
      </c>
      <c r="F75" s="34">
        <v>242.0</v>
      </c>
      <c r="G75" s="34">
        <v>288.0</v>
      </c>
      <c r="H75" s="20">
        <v>2.4305555555555555E-4</v>
      </c>
      <c r="I75" s="21">
        <v>0.3264</v>
      </c>
      <c r="J75" s="42">
        <v>256.0</v>
      </c>
      <c r="K75" s="42">
        <v>306.0</v>
      </c>
      <c r="L75" s="42">
        <v>356.0</v>
      </c>
      <c r="M75" s="23">
        <v>2.4305555555555555E-4</v>
      </c>
      <c r="N75" s="24">
        <v>0.3399</v>
      </c>
    </row>
    <row r="76">
      <c r="A76" s="17" t="s">
        <v>147</v>
      </c>
      <c r="B76" s="18" t="s">
        <v>20</v>
      </c>
      <c r="C76" s="18" t="s">
        <v>21</v>
      </c>
      <c r="D76" s="18"/>
      <c r="E76" s="34">
        <v>308.0</v>
      </c>
      <c r="F76" s="34">
        <v>333.0</v>
      </c>
      <c r="G76" s="34">
        <v>369.0</v>
      </c>
      <c r="H76" s="20">
        <v>4.62962962962963E-4</v>
      </c>
      <c r="I76" s="21">
        <v>0.2853</v>
      </c>
      <c r="J76" s="42">
        <v>337.0</v>
      </c>
      <c r="K76" s="42">
        <v>367.0</v>
      </c>
      <c r="L76" s="42">
        <v>409.0</v>
      </c>
      <c r="M76" s="23">
        <v>5.092592592592592E-4</v>
      </c>
      <c r="N76" s="24">
        <v>0.2698</v>
      </c>
    </row>
    <row r="77">
      <c r="A77" s="17" t="s">
        <v>242</v>
      </c>
      <c r="E77" s="79"/>
      <c r="F77" s="79"/>
      <c r="G77" s="79"/>
      <c r="H77" s="113"/>
      <c r="I77" s="79"/>
      <c r="J77" s="80"/>
      <c r="K77" s="80"/>
      <c r="L77" s="80"/>
      <c r="M77" s="114"/>
      <c r="N77" s="80"/>
    </row>
    <row r="78">
      <c r="A78" s="17" t="s">
        <v>243</v>
      </c>
      <c r="E78" s="79"/>
      <c r="F78" s="79"/>
      <c r="G78" s="79"/>
      <c r="H78" s="113"/>
      <c r="I78" s="79"/>
      <c r="J78" s="80"/>
      <c r="K78" s="80"/>
      <c r="L78" s="80"/>
      <c r="M78" s="114"/>
      <c r="N78" s="80"/>
    </row>
    <row r="79">
      <c r="A79" s="17" t="s">
        <v>244</v>
      </c>
      <c r="E79" s="79"/>
      <c r="F79" s="79"/>
      <c r="G79" s="79"/>
      <c r="H79" s="113"/>
      <c r="I79" s="79"/>
      <c r="J79" s="80"/>
      <c r="K79" s="80"/>
      <c r="L79" s="80"/>
      <c r="M79" s="114"/>
      <c r="N79" s="80"/>
    </row>
    <row r="80">
      <c r="A80" s="17" t="s">
        <v>140</v>
      </c>
      <c r="B80" s="18" t="s">
        <v>20</v>
      </c>
      <c r="C80" s="18" t="s">
        <v>21</v>
      </c>
      <c r="D80" s="18"/>
      <c r="E80" s="34">
        <v>293.0</v>
      </c>
      <c r="F80" s="34">
        <v>323.0</v>
      </c>
      <c r="G80" s="34">
        <v>385.0</v>
      </c>
      <c r="H80" s="20">
        <v>2.4305555555555555E-4</v>
      </c>
      <c r="I80" s="21">
        <v>0.2786</v>
      </c>
      <c r="J80" s="42">
        <v>386.0</v>
      </c>
      <c r="K80" s="42">
        <v>421.0</v>
      </c>
      <c r="L80" s="42">
        <v>491.0</v>
      </c>
      <c r="M80" s="23">
        <v>2.314814814814815E-4</v>
      </c>
      <c r="N80" s="24">
        <v>0.2185</v>
      </c>
    </row>
    <row r="81">
      <c r="A81" s="17" t="s">
        <v>225</v>
      </c>
      <c r="B81" s="18" t="s">
        <v>20</v>
      </c>
      <c r="C81" s="18" t="s">
        <v>21</v>
      </c>
      <c r="D81" s="18"/>
      <c r="E81" s="34">
        <v>36.0</v>
      </c>
      <c r="F81" s="34">
        <v>45.0</v>
      </c>
      <c r="G81" s="34">
        <v>59.0</v>
      </c>
      <c r="H81" s="20">
        <v>5.787037037037037E-4</v>
      </c>
      <c r="I81" s="21">
        <v>0.2</v>
      </c>
      <c r="J81" s="42">
        <v>39.0</v>
      </c>
      <c r="K81" s="42">
        <v>51.0</v>
      </c>
      <c r="L81" s="42">
        <v>65.0</v>
      </c>
      <c r="M81" s="23">
        <v>5.208333333333333E-4</v>
      </c>
      <c r="N81" s="24">
        <v>0.2353</v>
      </c>
    </row>
    <row r="82">
      <c r="A82" s="17" t="s">
        <v>245</v>
      </c>
      <c r="B82" s="18" t="s">
        <v>20</v>
      </c>
      <c r="C82" s="18" t="s">
        <v>21</v>
      </c>
      <c r="D82" s="18"/>
      <c r="E82" s="34">
        <v>2.0</v>
      </c>
      <c r="F82" s="34">
        <v>2.0</v>
      </c>
      <c r="G82" s="34">
        <v>3.0</v>
      </c>
      <c r="H82" s="20">
        <v>0.0</v>
      </c>
      <c r="I82" s="21">
        <v>0.5</v>
      </c>
      <c r="J82" s="42">
        <v>3.0</v>
      </c>
      <c r="K82" s="42">
        <v>3.0</v>
      </c>
      <c r="L82" s="42">
        <v>4.0</v>
      </c>
      <c r="M82" s="23">
        <v>0.0</v>
      </c>
      <c r="N82" s="24">
        <v>0.6667</v>
      </c>
    </row>
    <row r="83">
      <c r="A83" s="67" t="s">
        <v>227</v>
      </c>
      <c r="B83" s="18" t="s">
        <v>20</v>
      </c>
      <c r="C83" s="18" t="s">
        <v>24</v>
      </c>
      <c r="D83" s="18"/>
      <c r="E83" s="34">
        <v>61.0</v>
      </c>
      <c r="F83" s="34">
        <v>74.0</v>
      </c>
      <c r="G83" s="34">
        <v>90.0</v>
      </c>
      <c r="H83" s="20">
        <v>6.597222222222222E-4</v>
      </c>
      <c r="I83" s="21">
        <v>0.3378</v>
      </c>
      <c r="J83" s="42">
        <v>74.0</v>
      </c>
      <c r="K83" s="42">
        <v>93.0</v>
      </c>
      <c r="L83" s="42">
        <v>111.0</v>
      </c>
      <c r="M83" s="23">
        <v>5.555555555555556E-4</v>
      </c>
      <c r="N83" s="24">
        <v>0.3763</v>
      </c>
    </row>
    <row r="84">
      <c r="A84" s="17" t="s">
        <v>246</v>
      </c>
      <c r="B84" s="18" t="s">
        <v>20</v>
      </c>
      <c r="C84" s="18" t="s">
        <v>24</v>
      </c>
      <c r="D84" s="18"/>
      <c r="E84" s="34">
        <v>6.0</v>
      </c>
      <c r="F84" s="34">
        <v>7.0</v>
      </c>
      <c r="G84" s="34">
        <v>7.0</v>
      </c>
      <c r="H84" s="20">
        <v>4.861111111111111E-4</v>
      </c>
      <c r="I84" s="21">
        <v>0.0</v>
      </c>
      <c r="J84" s="42">
        <v>9.0</v>
      </c>
      <c r="K84" s="42">
        <v>10.0</v>
      </c>
      <c r="L84" s="42">
        <v>10.0</v>
      </c>
      <c r="M84" s="23">
        <v>5.671296296296297E-4</v>
      </c>
      <c r="N84" s="24">
        <v>0.0</v>
      </c>
    </row>
    <row r="85">
      <c r="A85" s="17" t="s">
        <v>186</v>
      </c>
      <c r="B85" s="18" t="s">
        <v>20</v>
      </c>
      <c r="C85" s="18" t="s">
        <v>24</v>
      </c>
      <c r="D85" s="18"/>
      <c r="E85" s="34">
        <v>0.0</v>
      </c>
      <c r="F85" s="34">
        <v>0.0</v>
      </c>
      <c r="G85" s="34">
        <v>0.0</v>
      </c>
      <c r="H85" s="34"/>
      <c r="I85" s="34"/>
      <c r="J85" s="42">
        <v>125.0</v>
      </c>
      <c r="K85" s="42">
        <v>143.0</v>
      </c>
      <c r="L85" s="42">
        <v>168.0</v>
      </c>
      <c r="M85" s="23">
        <v>9.027777777777777E-4</v>
      </c>
      <c r="N85" s="24">
        <v>0.3357</v>
      </c>
    </row>
    <row r="86">
      <c r="A86" s="17" t="s">
        <v>218</v>
      </c>
      <c r="B86" s="18" t="s">
        <v>20</v>
      </c>
      <c r="C86" s="18" t="s">
        <v>24</v>
      </c>
      <c r="D86" s="18"/>
      <c r="E86" s="34">
        <v>331.0</v>
      </c>
      <c r="F86" s="34">
        <v>374.0</v>
      </c>
      <c r="G86" s="34">
        <v>418.0</v>
      </c>
      <c r="H86" s="20">
        <v>4.5138888888888887E-4</v>
      </c>
      <c r="I86" s="21">
        <v>0.5401</v>
      </c>
      <c r="J86" s="42">
        <v>432.0</v>
      </c>
      <c r="K86" s="42">
        <v>498.0</v>
      </c>
      <c r="L86" s="42">
        <v>550.0</v>
      </c>
      <c r="M86" s="23">
        <v>4.2824074074074075E-4</v>
      </c>
      <c r="N86" s="24">
        <v>0.494</v>
      </c>
    </row>
    <row r="87">
      <c r="A87" s="67" t="s">
        <v>223</v>
      </c>
      <c r="B87" s="18" t="s">
        <v>20</v>
      </c>
      <c r="C87" s="18" t="s">
        <v>24</v>
      </c>
      <c r="D87" s="18"/>
      <c r="E87" s="34">
        <v>718.0</v>
      </c>
      <c r="F87" s="34">
        <v>858.0</v>
      </c>
      <c r="G87" s="34">
        <v>952.0</v>
      </c>
      <c r="H87" s="20">
        <v>3.935185185185185E-4</v>
      </c>
      <c r="I87" s="21">
        <v>0.2972</v>
      </c>
      <c r="J87" s="42">
        <v>817.0</v>
      </c>
      <c r="K87" s="42">
        <v>990.0</v>
      </c>
      <c r="L87" s="22">
        <v>1096.0</v>
      </c>
      <c r="M87" s="23">
        <v>3.8194444444444446E-4</v>
      </c>
      <c r="N87" s="24">
        <v>0.2869</v>
      </c>
    </row>
    <row r="88">
      <c r="A88" s="17" t="s">
        <v>247</v>
      </c>
      <c r="B88" s="18" t="s">
        <v>20</v>
      </c>
      <c r="C88" s="18" t="s">
        <v>24</v>
      </c>
      <c r="D88" s="18"/>
      <c r="E88" s="34">
        <v>283.0</v>
      </c>
      <c r="F88" s="34">
        <v>304.0</v>
      </c>
      <c r="G88" s="34">
        <v>335.0</v>
      </c>
      <c r="H88" s="20">
        <v>4.5138888888888887E-4</v>
      </c>
      <c r="I88" s="21">
        <v>0.5789</v>
      </c>
      <c r="J88" s="42">
        <v>283.0</v>
      </c>
      <c r="K88" s="42">
        <v>304.0</v>
      </c>
      <c r="L88" s="42">
        <v>335.0</v>
      </c>
      <c r="M88" s="23">
        <v>4.5138888888888887E-4</v>
      </c>
      <c r="N88" s="24">
        <v>0.5789</v>
      </c>
    </row>
    <row r="89">
      <c r="A89" s="105"/>
      <c r="H89" s="106"/>
      <c r="M89" s="106"/>
    </row>
    <row r="90">
      <c r="A90" s="105"/>
      <c r="L90" s="106"/>
    </row>
    <row r="91">
      <c r="A91" s="105"/>
      <c r="H91" s="106"/>
      <c r="M91" s="106"/>
    </row>
    <row r="92">
      <c r="A92" s="105"/>
      <c r="H92" s="106"/>
      <c r="M92" s="106"/>
    </row>
    <row r="93">
      <c r="A93" s="105"/>
      <c r="H93" s="106"/>
      <c r="M93" s="106"/>
    </row>
    <row r="94">
      <c r="A94" s="105"/>
      <c r="H94" s="106"/>
      <c r="M94" s="106"/>
    </row>
    <row r="95">
      <c r="A95" s="105"/>
      <c r="H95" s="106"/>
      <c r="M95" s="106"/>
    </row>
    <row r="96">
      <c r="A96" s="105"/>
      <c r="H96" s="106"/>
      <c r="M96" s="106"/>
    </row>
    <row r="97">
      <c r="A97" s="105"/>
      <c r="H97" s="106"/>
      <c r="M97" s="106"/>
    </row>
    <row r="98">
      <c r="A98" s="105"/>
      <c r="H98" s="106"/>
      <c r="M98" s="106"/>
    </row>
    <row r="99">
      <c r="A99" s="105"/>
      <c r="H99" s="106"/>
      <c r="M99" s="106"/>
    </row>
    <row r="100">
      <c r="A100" s="105"/>
      <c r="H100" s="106"/>
      <c r="M100" s="106"/>
    </row>
    <row r="101">
      <c r="A101" s="105"/>
      <c r="H101" s="106"/>
      <c r="M101" s="106"/>
    </row>
    <row r="102">
      <c r="A102" s="105"/>
      <c r="H102" s="106"/>
      <c r="M102" s="106"/>
    </row>
    <row r="103">
      <c r="A103" s="105"/>
      <c r="H103" s="106"/>
      <c r="M103" s="106"/>
    </row>
    <row r="104">
      <c r="A104" s="105"/>
      <c r="H104" s="106"/>
      <c r="M104" s="106"/>
    </row>
    <row r="105">
      <c r="A105" s="105"/>
      <c r="H105" s="106"/>
      <c r="M105" s="106"/>
    </row>
    <row r="106">
      <c r="A106" s="105"/>
      <c r="H106" s="106"/>
      <c r="M106" s="106"/>
    </row>
    <row r="107">
      <c r="A107" s="105"/>
      <c r="H107" s="106"/>
      <c r="M107" s="106"/>
    </row>
    <row r="108">
      <c r="A108" s="105"/>
      <c r="H108" s="106"/>
      <c r="M108" s="106"/>
    </row>
    <row r="109">
      <c r="A109" s="105"/>
      <c r="H109" s="106"/>
      <c r="M109" s="106"/>
    </row>
    <row r="110">
      <c r="A110" s="105"/>
      <c r="H110" s="106"/>
      <c r="M110" s="106"/>
    </row>
    <row r="111">
      <c r="A111" s="105"/>
      <c r="H111" s="106"/>
      <c r="M111" s="106"/>
    </row>
    <row r="112">
      <c r="A112" s="105"/>
      <c r="H112" s="106"/>
      <c r="M112" s="106"/>
    </row>
    <row r="113">
      <c r="A113" s="105"/>
      <c r="H113" s="106"/>
      <c r="M113" s="106"/>
    </row>
    <row r="114">
      <c r="A114" s="105"/>
      <c r="H114" s="106"/>
      <c r="M114" s="106"/>
    </row>
    <row r="115">
      <c r="A115" s="105"/>
      <c r="H115" s="106"/>
      <c r="M115" s="106"/>
    </row>
    <row r="116">
      <c r="A116" s="105"/>
      <c r="H116" s="106"/>
      <c r="M116" s="106"/>
    </row>
    <row r="117">
      <c r="A117" s="105"/>
      <c r="H117" s="106"/>
      <c r="M117" s="106"/>
    </row>
    <row r="118">
      <c r="A118" s="105"/>
      <c r="H118" s="106"/>
      <c r="M118" s="106"/>
    </row>
    <row r="119">
      <c r="A119" s="105"/>
      <c r="H119" s="106"/>
      <c r="M119" s="106"/>
    </row>
    <row r="120">
      <c r="A120" s="105"/>
      <c r="H120" s="106"/>
      <c r="M120" s="106"/>
    </row>
    <row r="121">
      <c r="A121" s="105"/>
      <c r="H121" s="106"/>
      <c r="M121" s="106"/>
    </row>
    <row r="122">
      <c r="A122" s="105"/>
      <c r="H122" s="106"/>
      <c r="M122" s="106"/>
    </row>
    <row r="123">
      <c r="A123" s="105"/>
      <c r="H123" s="106"/>
      <c r="M123" s="106"/>
    </row>
    <row r="124">
      <c r="A124" s="105"/>
      <c r="H124" s="106"/>
      <c r="M124" s="106"/>
    </row>
    <row r="125">
      <c r="A125" s="105"/>
      <c r="H125" s="106"/>
      <c r="M125" s="106"/>
    </row>
    <row r="126">
      <c r="A126" s="105"/>
      <c r="H126" s="106"/>
      <c r="M126" s="106"/>
    </row>
    <row r="127">
      <c r="A127" s="105"/>
      <c r="H127" s="106"/>
      <c r="M127" s="106"/>
    </row>
    <row r="128">
      <c r="A128" s="105"/>
      <c r="H128" s="106"/>
      <c r="M128" s="106"/>
    </row>
    <row r="129">
      <c r="A129" s="105"/>
      <c r="H129" s="106"/>
      <c r="M129" s="106"/>
    </row>
    <row r="130">
      <c r="A130" s="105"/>
      <c r="H130" s="106"/>
      <c r="M130" s="106"/>
    </row>
    <row r="131">
      <c r="A131" s="105"/>
      <c r="H131" s="106"/>
      <c r="M131" s="106"/>
    </row>
    <row r="132">
      <c r="A132" s="105"/>
      <c r="H132" s="106"/>
      <c r="M132" s="106"/>
    </row>
    <row r="133">
      <c r="A133" s="105"/>
      <c r="H133" s="106"/>
      <c r="M133" s="106"/>
    </row>
    <row r="134">
      <c r="A134" s="105"/>
      <c r="H134" s="106"/>
      <c r="M134" s="106"/>
    </row>
    <row r="135">
      <c r="A135" s="105"/>
      <c r="H135" s="106"/>
      <c r="M135" s="106"/>
    </row>
    <row r="136">
      <c r="A136" s="105"/>
      <c r="H136" s="106"/>
      <c r="M136" s="106"/>
    </row>
    <row r="137">
      <c r="A137" s="105"/>
      <c r="H137" s="106"/>
      <c r="M137" s="106"/>
    </row>
    <row r="138">
      <c r="A138" s="105"/>
      <c r="H138" s="106"/>
      <c r="M138" s="106"/>
    </row>
    <row r="139">
      <c r="A139" s="105"/>
      <c r="H139" s="106"/>
      <c r="M139" s="106"/>
    </row>
    <row r="140">
      <c r="A140" s="105"/>
      <c r="H140" s="106"/>
      <c r="M140" s="106"/>
    </row>
    <row r="141">
      <c r="A141" s="105"/>
      <c r="H141" s="106"/>
      <c r="M141" s="106"/>
    </row>
    <row r="142">
      <c r="A142" s="105"/>
      <c r="H142" s="106"/>
      <c r="M142" s="106"/>
    </row>
    <row r="143">
      <c r="A143" s="105"/>
      <c r="H143" s="106"/>
      <c r="M143" s="106"/>
    </row>
    <row r="144">
      <c r="A144" s="105"/>
      <c r="H144" s="106"/>
      <c r="M144" s="106"/>
    </row>
    <row r="145">
      <c r="A145" s="105"/>
      <c r="H145" s="106"/>
      <c r="M145" s="106"/>
    </row>
    <row r="146">
      <c r="A146" s="105"/>
      <c r="H146" s="106"/>
      <c r="M146" s="106"/>
    </row>
    <row r="147">
      <c r="A147" s="105"/>
      <c r="H147" s="106"/>
      <c r="M147" s="106"/>
    </row>
    <row r="148">
      <c r="A148" s="105"/>
      <c r="H148" s="106"/>
      <c r="M148" s="106"/>
    </row>
    <row r="149">
      <c r="A149" s="105"/>
      <c r="H149" s="106"/>
      <c r="M149" s="106"/>
    </row>
    <row r="150">
      <c r="A150" s="105"/>
      <c r="H150" s="106"/>
      <c r="M150" s="106"/>
    </row>
    <row r="151">
      <c r="A151" s="105"/>
      <c r="H151" s="106"/>
      <c r="M151" s="106"/>
    </row>
    <row r="152">
      <c r="A152" s="105"/>
      <c r="H152" s="106"/>
      <c r="M152" s="106"/>
    </row>
    <row r="153">
      <c r="A153" s="105"/>
      <c r="H153" s="106"/>
      <c r="M153" s="106"/>
    </row>
    <row r="154">
      <c r="A154" s="105"/>
      <c r="H154" s="106"/>
      <c r="M154" s="106"/>
    </row>
    <row r="155">
      <c r="A155" s="105"/>
      <c r="H155" s="106"/>
      <c r="M155" s="106"/>
    </row>
    <row r="156">
      <c r="A156" s="105"/>
      <c r="H156" s="106"/>
      <c r="M156" s="106"/>
    </row>
    <row r="157">
      <c r="A157" s="105"/>
      <c r="H157" s="106"/>
      <c r="M157" s="106"/>
    </row>
    <row r="158">
      <c r="A158" s="105"/>
      <c r="H158" s="106"/>
      <c r="M158" s="106"/>
    </row>
    <row r="159">
      <c r="A159" s="105"/>
      <c r="H159" s="106"/>
      <c r="M159" s="106"/>
    </row>
    <row r="160">
      <c r="A160" s="105"/>
      <c r="H160" s="106"/>
      <c r="M160" s="106"/>
    </row>
    <row r="161">
      <c r="A161" s="105"/>
      <c r="H161" s="106"/>
      <c r="M161" s="106"/>
    </row>
    <row r="162">
      <c r="A162" s="105"/>
      <c r="H162" s="106"/>
      <c r="M162" s="106"/>
    </row>
    <row r="163">
      <c r="A163" s="105"/>
      <c r="H163" s="106"/>
      <c r="M163" s="106"/>
    </row>
    <row r="164">
      <c r="A164" s="105"/>
      <c r="H164" s="106"/>
      <c r="M164" s="106"/>
    </row>
    <row r="165">
      <c r="A165" s="105"/>
      <c r="H165" s="106"/>
      <c r="M165" s="106"/>
    </row>
    <row r="166">
      <c r="A166" s="105"/>
      <c r="H166" s="106"/>
      <c r="M166" s="106"/>
    </row>
    <row r="167">
      <c r="A167" s="105"/>
      <c r="H167" s="106"/>
      <c r="M167" s="106"/>
    </row>
    <row r="168">
      <c r="A168" s="105"/>
      <c r="H168" s="106"/>
      <c r="M168" s="106"/>
    </row>
    <row r="169">
      <c r="A169" s="105"/>
      <c r="H169" s="106"/>
      <c r="M169" s="106"/>
    </row>
    <row r="170">
      <c r="A170" s="105"/>
      <c r="H170" s="106"/>
      <c r="M170" s="106"/>
    </row>
    <row r="171">
      <c r="A171" s="105"/>
      <c r="H171" s="106"/>
      <c r="M171" s="106"/>
    </row>
    <row r="172">
      <c r="A172" s="105"/>
      <c r="H172" s="106"/>
      <c r="M172" s="106"/>
    </row>
    <row r="173">
      <c r="A173" s="105"/>
      <c r="H173" s="106"/>
      <c r="M173" s="106"/>
    </row>
    <row r="174">
      <c r="A174" s="105"/>
      <c r="H174" s="106"/>
      <c r="M174" s="106"/>
    </row>
    <row r="175">
      <c r="A175" s="105"/>
      <c r="H175" s="106"/>
      <c r="M175" s="106"/>
    </row>
    <row r="176">
      <c r="A176" s="105"/>
      <c r="H176" s="106"/>
      <c r="M176" s="106"/>
    </row>
    <row r="177">
      <c r="A177" s="105"/>
      <c r="H177" s="106"/>
      <c r="M177" s="106"/>
    </row>
    <row r="178">
      <c r="A178" s="105"/>
      <c r="H178" s="106"/>
      <c r="M178" s="106"/>
    </row>
    <row r="179">
      <c r="A179" s="105"/>
      <c r="H179" s="106"/>
      <c r="M179" s="106"/>
    </row>
    <row r="180">
      <c r="A180" s="105"/>
      <c r="H180" s="106"/>
      <c r="M180" s="106"/>
    </row>
    <row r="181">
      <c r="A181" s="105"/>
      <c r="H181" s="106"/>
      <c r="M181" s="106"/>
    </row>
    <row r="182">
      <c r="A182" s="105"/>
      <c r="H182" s="106"/>
      <c r="M182" s="106"/>
    </row>
    <row r="183">
      <c r="A183" s="105"/>
      <c r="H183" s="106"/>
      <c r="M183" s="106"/>
    </row>
    <row r="184">
      <c r="A184" s="105"/>
      <c r="H184" s="106"/>
      <c r="M184" s="106"/>
    </row>
    <row r="185">
      <c r="A185" s="105"/>
      <c r="H185" s="106"/>
      <c r="M185" s="106"/>
    </row>
    <row r="186">
      <c r="A186" s="105"/>
      <c r="H186" s="106"/>
      <c r="M186" s="106"/>
    </row>
    <row r="187">
      <c r="A187" s="105"/>
      <c r="H187" s="106"/>
      <c r="M187" s="106"/>
    </row>
    <row r="188">
      <c r="A188" s="105"/>
      <c r="H188" s="106"/>
      <c r="M188" s="106"/>
    </row>
    <row r="189">
      <c r="A189" s="105"/>
      <c r="H189" s="106"/>
      <c r="M189" s="106"/>
    </row>
    <row r="190">
      <c r="A190" s="105"/>
      <c r="H190" s="106"/>
      <c r="M190" s="106"/>
    </row>
    <row r="191">
      <c r="A191" s="105"/>
      <c r="H191" s="106"/>
      <c r="M191" s="106"/>
    </row>
    <row r="192">
      <c r="A192" s="105"/>
      <c r="H192" s="106"/>
      <c r="M192" s="106"/>
    </row>
    <row r="193">
      <c r="A193" s="105"/>
      <c r="H193" s="106"/>
      <c r="M193" s="106"/>
    </row>
    <row r="194">
      <c r="A194" s="105"/>
      <c r="H194" s="106"/>
      <c r="M194" s="106"/>
    </row>
    <row r="195">
      <c r="A195" s="105"/>
      <c r="H195" s="106"/>
      <c r="M195" s="106"/>
    </row>
    <row r="196">
      <c r="A196" s="105"/>
      <c r="H196" s="106"/>
      <c r="M196" s="106"/>
    </row>
    <row r="197">
      <c r="A197" s="105"/>
      <c r="H197" s="106"/>
      <c r="M197" s="106"/>
    </row>
    <row r="198">
      <c r="A198" s="105"/>
      <c r="H198" s="106"/>
      <c r="M198" s="106"/>
    </row>
    <row r="199">
      <c r="A199" s="105"/>
      <c r="H199" s="106"/>
      <c r="M199" s="106"/>
    </row>
    <row r="200">
      <c r="A200" s="105"/>
      <c r="H200" s="106"/>
      <c r="M200" s="106"/>
    </row>
    <row r="201">
      <c r="A201" s="105"/>
      <c r="H201" s="106"/>
      <c r="M201" s="106"/>
    </row>
    <row r="202">
      <c r="A202" s="105"/>
      <c r="H202" s="106"/>
      <c r="M202" s="106"/>
    </row>
    <row r="203">
      <c r="A203" s="105"/>
      <c r="H203" s="106"/>
      <c r="M203" s="106"/>
    </row>
    <row r="204">
      <c r="A204" s="105"/>
      <c r="H204" s="106"/>
      <c r="M204" s="106"/>
    </row>
    <row r="205">
      <c r="A205" s="105"/>
      <c r="H205" s="106"/>
      <c r="M205" s="106"/>
    </row>
    <row r="206">
      <c r="A206" s="105"/>
      <c r="H206" s="106"/>
      <c r="M206" s="106"/>
    </row>
    <row r="207">
      <c r="A207" s="105"/>
      <c r="H207" s="106"/>
      <c r="M207" s="106"/>
    </row>
    <row r="208">
      <c r="A208" s="105"/>
      <c r="H208" s="106"/>
      <c r="M208" s="106"/>
    </row>
    <row r="209">
      <c r="A209" s="105"/>
      <c r="H209" s="106"/>
      <c r="M209" s="106"/>
    </row>
    <row r="210">
      <c r="A210" s="105"/>
      <c r="H210" s="106"/>
      <c r="M210" s="106"/>
    </row>
    <row r="211">
      <c r="A211" s="105"/>
      <c r="H211" s="106"/>
      <c r="M211" s="106"/>
    </row>
    <row r="212">
      <c r="A212" s="105"/>
      <c r="H212" s="106"/>
      <c r="M212" s="106"/>
    </row>
    <row r="213">
      <c r="A213" s="105"/>
      <c r="H213" s="106"/>
      <c r="M213" s="106"/>
    </row>
    <row r="214">
      <c r="A214" s="105"/>
      <c r="H214" s="106"/>
      <c r="M214" s="106"/>
    </row>
    <row r="215">
      <c r="A215" s="105"/>
      <c r="H215" s="106"/>
      <c r="M215" s="106"/>
    </row>
    <row r="216">
      <c r="A216" s="105"/>
      <c r="H216" s="106"/>
      <c r="M216" s="106"/>
    </row>
    <row r="217">
      <c r="A217" s="105"/>
      <c r="H217" s="106"/>
      <c r="M217" s="106"/>
    </row>
    <row r="218">
      <c r="A218" s="105"/>
      <c r="H218" s="106"/>
      <c r="M218" s="106"/>
    </row>
    <row r="219">
      <c r="A219" s="105"/>
      <c r="H219" s="106"/>
      <c r="M219" s="106"/>
    </row>
    <row r="220">
      <c r="A220" s="105"/>
      <c r="H220" s="106"/>
      <c r="M220" s="106"/>
    </row>
    <row r="221">
      <c r="A221" s="105"/>
      <c r="H221" s="106"/>
      <c r="M221" s="106"/>
    </row>
    <row r="222">
      <c r="A222" s="105"/>
      <c r="H222" s="106"/>
      <c r="M222" s="106"/>
    </row>
    <row r="223">
      <c r="A223" s="105"/>
      <c r="H223" s="106"/>
      <c r="M223" s="106"/>
    </row>
    <row r="224">
      <c r="A224" s="105"/>
      <c r="H224" s="106"/>
      <c r="M224" s="106"/>
    </row>
    <row r="225">
      <c r="A225" s="105"/>
      <c r="H225" s="106"/>
      <c r="M225" s="106"/>
    </row>
    <row r="226">
      <c r="A226" s="105"/>
      <c r="H226" s="106"/>
      <c r="M226" s="106"/>
    </row>
    <row r="227">
      <c r="A227" s="105"/>
      <c r="H227" s="106"/>
      <c r="M227" s="106"/>
    </row>
    <row r="228">
      <c r="A228" s="105"/>
      <c r="H228" s="106"/>
      <c r="M228" s="106"/>
    </row>
    <row r="229">
      <c r="A229" s="105"/>
      <c r="H229" s="106"/>
      <c r="M229" s="106"/>
    </row>
    <row r="230">
      <c r="A230" s="105"/>
      <c r="H230" s="106"/>
      <c r="M230" s="106"/>
    </row>
    <row r="231">
      <c r="A231" s="105"/>
      <c r="H231" s="106"/>
      <c r="M231" s="106"/>
    </row>
    <row r="232">
      <c r="A232" s="105"/>
      <c r="H232" s="106"/>
      <c r="M232" s="106"/>
    </row>
    <row r="233">
      <c r="A233" s="105"/>
      <c r="H233" s="106"/>
      <c r="M233" s="106"/>
    </row>
    <row r="234">
      <c r="A234" s="105"/>
      <c r="H234" s="106"/>
      <c r="M234" s="106"/>
    </row>
    <row r="235">
      <c r="A235" s="105"/>
      <c r="H235" s="106"/>
      <c r="M235" s="106"/>
    </row>
    <row r="236">
      <c r="A236" s="105"/>
      <c r="H236" s="106"/>
      <c r="M236" s="106"/>
    </row>
    <row r="237">
      <c r="A237" s="105"/>
      <c r="H237" s="106"/>
      <c r="M237" s="106"/>
    </row>
    <row r="238">
      <c r="A238" s="105"/>
      <c r="H238" s="106"/>
      <c r="M238" s="106"/>
    </row>
    <row r="239">
      <c r="A239" s="105"/>
      <c r="H239" s="106"/>
      <c r="M239" s="106"/>
    </row>
    <row r="240">
      <c r="A240" s="105"/>
      <c r="H240" s="106"/>
      <c r="M240" s="106"/>
    </row>
    <row r="241">
      <c r="A241" s="105"/>
      <c r="H241" s="106"/>
      <c r="M241" s="106"/>
    </row>
    <row r="242">
      <c r="A242" s="105"/>
      <c r="H242" s="106"/>
      <c r="M242" s="106"/>
    </row>
    <row r="243">
      <c r="A243" s="105"/>
      <c r="H243" s="106"/>
      <c r="M243" s="106"/>
    </row>
    <row r="244">
      <c r="A244" s="105"/>
      <c r="H244" s="106"/>
      <c r="M244" s="106"/>
    </row>
    <row r="245">
      <c r="A245" s="105"/>
      <c r="H245" s="106"/>
      <c r="M245" s="106"/>
    </row>
    <row r="246">
      <c r="A246" s="105"/>
      <c r="H246" s="106"/>
      <c r="M246" s="106"/>
    </row>
    <row r="247">
      <c r="A247" s="105"/>
      <c r="H247" s="106"/>
      <c r="M247" s="106"/>
    </row>
    <row r="248">
      <c r="A248" s="105"/>
      <c r="H248" s="106"/>
      <c r="M248" s="106"/>
    </row>
    <row r="249">
      <c r="A249" s="105"/>
      <c r="H249" s="106"/>
      <c r="M249" s="106"/>
    </row>
    <row r="250">
      <c r="A250" s="105"/>
      <c r="H250" s="106"/>
      <c r="M250" s="106"/>
    </row>
    <row r="251">
      <c r="A251" s="105"/>
      <c r="H251" s="106"/>
      <c r="M251" s="106"/>
    </row>
    <row r="252">
      <c r="A252" s="105"/>
      <c r="H252" s="106"/>
      <c r="M252" s="106"/>
    </row>
    <row r="253">
      <c r="A253" s="105"/>
      <c r="H253" s="106"/>
      <c r="M253" s="106"/>
    </row>
    <row r="254">
      <c r="A254" s="105"/>
      <c r="H254" s="106"/>
      <c r="M254" s="106"/>
    </row>
    <row r="255">
      <c r="A255" s="105"/>
      <c r="H255" s="106"/>
      <c r="M255" s="106"/>
    </row>
    <row r="256">
      <c r="A256" s="105"/>
      <c r="H256" s="106"/>
      <c r="M256" s="106"/>
    </row>
    <row r="257">
      <c r="A257" s="105"/>
      <c r="H257" s="106"/>
      <c r="M257" s="106"/>
    </row>
    <row r="258">
      <c r="A258" s="105"/>
      <c r="H258" s="106"/>
      <c r="M258" s="106"/>
    </row>
    <row r="259">
      <c r="A259" s="105"/>
      <c r="H259" s="106"/>
      <c r="M259" s="106"/>
    </row>
    <row r="260">
      <c r="A260" s="105"/>
      <c r="H260" s="106"/>
      <c r="M260" s="106"/>
    </row>
    <row r="261">
      <c r="A261" s="105"/>
      <c r="H261" s="106"/>
      <c r="M261" s="106"/>
    </row>
    <row r="262">
      <c r="A262" s="105"/>
      <c r="H262" s="106"/>
      <c r="M262" s="106"/>
    </row>
    <row r="263">
      <c r="A263" s="105"/>
      <c r="H263" s="106"/>
      <c r="M263" s="106"/>
    </row>
    <row r="264">
      <c r="A264" s="105"/>
      <c r="H264" s="106"/>
      <c r="M264" s="106"/>
    </row>
    <row r="265">
      <c r="A265" s="105"/>
      <c r="H265" s="106"/>
      <c r="M265" s="106"/>
    </row>
    <row r="266">
      <c r="A266" s="105"/>
      <c r="H266" s="106"/>
      <c r="M266" s="106"/>
    </row>
    <row r="267">
      <c r="A267" s="105"/>
      <c r="H267" s="106"/>
      <c r="M267" s="106"/>
    </row>
    <row r="268">
      <c r="A268" s="105"/>
      <c r="H268" s="106"/>
      <c r="M268" s="106"/>
    </row>
    <row r="269">
      <c r="A269" s="105"/>
      <c r="H269" s="106"/>
      <c r="M269" s="106"/>
    </row>
    <row r="270">
      <c r="A270" s="105"/>
      <c r="H270" s="106"/>
      <c r="M270" s="106"/>
    </row>
    <row r="271">
      <c r="A271" s="105"/>
      <c r="H271" s="106"/>
      <c r="M271" s="106"/>
    </row>
    <row r="272">
      <c r="A272" s="105"/>
      <c r="H272" s="106"/>
      <c r="M272" s="106"/>
    </row>
    <row r="273">
      <c r="A273" s="105"/>
      <c r="H273" s="106"/>
      <c r="M273" s="106"/>
    </row>
    <row r="274">
      <c r="A274" s="105"/>
      <c r="H274" s="106"/>
      <c r="M274" s="106"/>
    </row>
    <row r="275">
      <c r="A275" s="105"/>
      <c r="H275" s="106"/>
      <c r="M275" s="106"/>
    </row>
    <row r="276">
      <c r="A276" s="105"/>
      <c r="H276" s="106"/>
      <c r="M276" s="106"/>
    </row>
    <row r="277">
      <c r="A277" s="105"/>
      <c r="H277" s="106"/>
      <c r="M277" s="106"/>
    </row>
    <row r="278">
      <c r="A278" s="105"/>
      <c r="H278" s="106"/>
      <c r="M278" s="106"/>
    </row>
    <row r="279">
      <c r="A279" s="105"/>
      <c r="H279" s="106"/>
      <c r="M279" s="106"/>
    </row>
    <row r="280">
      <c r="A280" s="105"/>
      <c r="H280" s="106"/>
      <c r="M280" s="106"/>
    </row>
    <row r="281">
      <c r="A281" s="105"/>
      <c r="H281" s="106"/>
      <c r="M281" s="106"/>
    </row>
    <row r="282">
      <c r="A282" s="105"/>
      <c r="H282" s="106"/>
      <c r="M282" s="106"/>
    </row>
    <row r="283">
      <c r="A283" s="105"/>
      <c r="H283" s="106"/>
      <c r="M283" s="106"/>
    </row>
    <row r="284">
      <c r="A284" s="105"/>
      <c r="H284" s="106"/>
      <c r="M284" s="106"/>
    </row>
    <row r="285">
      <c r="A285" s="105"/>
      <c r="H285" s="106"/>
      <c r="M285" s="106"/>
    </row>
    <row r="286">
      <c r="A286" s="105"/>
      <c r="H286" s="106"/>
      <c r="M286" s="106"/>
    </row>
    <row r="287">
      <c r="A287" s="105"/>
      <c r="H287" s="106"/>
      <c r="M287" s="106"/>
    </row>
    <row r="288">
      <c r="A288" s="105"/>
      <c r="H288" s="106"/>
      <c r="M288" s="106"/>
    </row>
    <row r="289">
      <c r="A289" s="105"/>
      <c r="H289" s="106"/>
      <c r="M289" s="106"/>
    </row>
    <row r="290">
      <c r="A290" s="105"/>
      <c r="H290" s="106"/>
      <c r="M290" s="106"/>
    </row>
    <row r="291">
      <c r="A291" s="105"/>
      <c r="H291" s="106"/>
      <c r="M291" s="106"/>
    </row>
    <row r="292">
      <c r="A292" s="105"/>
      <c r="H292" s="106"/>
      <c r="M292" s="106"/>
    </row>
    <row r="293">
      <c r="A293" s="105"/>
      <c r="H293" s="106"/>
      <c r="M293" s="106"/>
    </row>
    <row r="294">
      <c r="A294" s="105"/>
      <c r="H294" s="106"/>
      <c r="M294" s="106"/>
    </row>
    <row r="295">
      <c r="A295" s="105"/>
      <c r="H295" s="106"/>
      <c r="M295" s="106"/>
    </row>
    <row r="296">
      <c r="A296" s="105"/>
      <c r="H296" s="106"/>
      <c r="M296" s="106"/>
    </row>
    <row r="297">
      <c r="A297" s="105"/>
      <c r="H297" s="106"/>
      <c r="M297" s="106"/>
    </row>
    <row r="298">
      <c r="A298" s="105"/>
      <c r="H298" s="106"/>
      <c r="M298" s="106"/>
    </row>
    <row r="299">
      <c r="A299" s="105"/>
      <c r="H299" s="106"/>
      <c r="M299" s="106"/>
    </row>
    <row r="300">
      <c r="A300" s="105"/>
      <c r="H300" s="106"/>
      <c r="M300" s="106"/>
    </row>
    <row r="301">
      <c r="A301" s="105"/>
      <c r="H301" s="106"/>
      <c r="M301" s="106"/>
    </row>
    <row r="302">
      <c r="A302" s="105"/>
      <c r="H302" s="106"/>
      <c r="M302" s="106"/>
    </row>
    <row r="303">
      <c r="A303" s="105"/>
      <c r="H303" s="106"/>
      <c r="M303" s="106"/>
    </row>
    <row r="304">
      <c r="A304" s="105"/>
      <c r="H304" s="106"/>
      <c r="M304" s="106"/>
    </row>
    <row r="305">
      <c r="A305" s="105"/>
      <c r="H305" s="106"/>
      <c r="M305" s="106"/>
    </row>
    <row r="306">
      <c r="A306" s="105"/>
      <c r="H306" s="106"/>
      <c r="M306" s="106"/>
    </row>
    <row r="307">
      <c r="A307" s="105"/>
      <c r="H307" s="106"/>
      <c r="M307" s="106"/>
    </row>
    <row r="308">
      <c r="A308" s="105"/>
      <c r="H308" s="106"/>
      <c r="M308" s="106"/>
    </row>
    <row r="309">
      <c r="A309" s="105"/>
      <c r="H309" s="106"/>
      <c r="M309" s="106"/>
    </row>
    <row r="310">
      <c r="A310" s="105"/>
      <c r="H310" s="106"/>
      <c r="M310" s="106"/>
    </row>
    <row r="311">
      <c r="A311" s="105"/>
      <c r="H311" s="106"/>
      <c r="M311" s="106"/>
    </row>
    <row r="312">
      <c r="A312" s="105"/>
      <c r="H312" s="106"/>
      <c r="M312" s="106"/>
    </row>
    <row r="313">
      <c r="A313" s="105"/>
      <c r="H313" s="106"/>
      <c r="M313" s="106"/>
    </row>
    <row r="314">
      <c r="A314" s="105"/>
      <c r="H314" s="106"/>
      <c r="M314" s="106"/>
    </row>
    <row r="315">
      <c r="A315" s="105"/>
      <c r="H315" s="106"/>
      <c r="M315" s="106"/>
    </row>
    <row r="316">
      <c r="A316" s="105"/>
      <c r="H316" s="106"/>
      <c r="M316" s="106"/>
    </row>
    <row r="317">
      <c r="A317" s="105"/>
      <c r="H317" s="106"/>
      <c r="M317" s="106"/>
    </row>
    <row r="318">
      <c r="A318" s="105"/>
      <c r="H318" s="106"/>
      <c r="M318" s="106"/>
    </row>
    <row r="319">
      <c r="A319" s="105"/>
      <c r="H319" s="106"/>
      <c r="M319" s="106"/>
    </row>
    <row r="320">
      <c r="A320" s="105"/>
      <c r="H320" s="106"/>
      <c r="M320" s="106"/>
    </row>
    <row r="321">
      <c r="A321" s="105"/>
      <c r="H321" s="106"/>
      <c r="M321" s="106"/>
    </row>
    <row r="322">
      <c r="A322" s="105"/>
      <c r="H322" s="106"/>
      <c r="M322" s="106"/>
    </row>
    <row r="323">
      <c r="A323" s="105"/>
      <c r="H323" s="106"/>
      <c r="M323" s="106"/>
    </row>
    <row r="324">
      <c r="A324" s="105"/>
      <c r="H324" s="106"/>
      <c r="M324" s="106"/>
    </row>
    <row r="325">
      <c r="A325" s="105"/>
      <c r="H325" s="106"/>
      <c r="M325" s="106"/>
    </row>
    <row r="326">
      <c r="A326" s="105"/>
      <c r="H326" s="106"/>
      <c r="M326" s="106"/>
    </row>
    <row r="327">
      <c r="A327" s="105"/>
      <c r="H327" s="106"/>
      <c r="M327" s="106"/>
    </row>
    <row r="328">
      <c r="A328" s="105"/>
      <c r="H328" s="106"/>
      <c r="M328" s="106"/>
    </row>
    <row r="329">
      <c r="A329" s="105"/>
      <c r="H329" s="106"/>
      <c r="M329" s="106"/>
    </row>
    <row r="330">
      <c r="A330" s="105"/>
      <c r="H330" s="106"/>
      <c r="M330" s="106"/>
    </row>
    <row r="331">
      <c r="A331" s="105"/>
      <c r="H331" s="106"/>
      <c r="M331" s="106"/>
    </row>
    <row r="332">
      <c r="A332" s="105"/>
      <c r="H332" s="106"/>
      <c r="M332" s="106"/>
    </row>
    <row r="333">
      <c r="A333" s="105"/>
      <c r="H333" s="106"/>
      <c r="M333" s="106"/>
    </row>
    <row r="334">
      <c r="A334" s="105"/>
      <c r="H334" s="106"/>
      <c r="M334" s="106"/>
    </row>
    <row r="335">
      <c r="A335" s="105"/>
      <c r="H335" s="106"/>
      <c r="M335" s="106"/>
    </row>
    <row r="336">
      <c r="A336" s="105"/>
      <c r="H336" s="106"/>
      <c r="M336" s="106"/>
    </row>
    <row r="337">
      <c r="A337" s="105"/>
      <c r="H337" s="106"/>
      <c r="M337" s="106"/>
    </row>
    <row r="338">
      <c r="A338" s="105"/>
      <c r="H338" s="106"/>
      <c r="M338" s="106"/>
    </row>
    <row r="339">
      <c r="A339" s="105"/>
      <c r="H339" s="106"/>
      <c r="M339" s="106"/>
    </row>
    <row r="340">
      <c r="A340" s="105"/>
      <c r="H340" s="106"/>
      <c r="M340" s="106"/>
    </row>
    <row r="341">
      <c r="A341" s="105"/>
      <c r="H341" s="106"/>
      <c r="M341" s="106"/>
    </row>
    <row r="342">
      <c r="A342" s="105"/>
      <c r="H342" s="106"/>
      <c r="M342" s="106"/>
    </row>
    <row r="343">
      <c r="A343" s="105"/>
      <c r="H343" s="106"/>
      <c r="M343" s="106"/>
    </row>
    <row r="344">
      <c r="A344" s="105"/>
      <c r="H344" s="106"/>
      <c r="M344" s="106"/>
    </row>
    <row r="345">
      <c r="A345" s="105"/>
      <c r="H345" s="106"/>
      <c r="M345" s="106"/>
    </row>
    <row r="346">
      <c r="A346" s="105"/>
      <c r="H346" s="106"/>
      <c r="M346" s="106"/>
    </row>
    <row r="347">
      <c r="A347" s="105"/>
      <c r="H347" s="106"/>
      <c r="M347" s="106"/>
    </row>
    <row r="348">
      <c r="A348" s="105"/>
      <c r="H348" s="106"/>
      <c r="M348" s="106"/>
    </row>
    <row r="349">
      <c r="A349" s="105"/>
      <c r="H349" s="106"/>
      <c r="M349" s="106"/>
    </row>
    <row r="350">
      <c r="A350" s="105"/>
      <c r="H350" s="106"/>
      <c r="M350" s="106"/>
    </row>
    <row r="351">
      <c r="A351" s="105"/>
      <c r="H351" s="106"/>
      <c r="M351" s="106"/>
    </row>
    <row r="352">
      <c r="A352" s="105"/>
      <c r="H352" s="106"/>
      <c r="M352" s="106"/>
    </row>
    <row r="353">
      <c r="A353" s="105"/>
      <c r="H353" s="106"/>
      <c r="M353" s="106"/>
    </row>
    <row r="354">
      <c r="A354" s="105"/>
      <c r="H354" s="106"/>
      <c r="M354" s="106"/>
    </row>
    <row r="355">
      <c r="A355" s="105"/>
      <c r="H355" s="106"/>
      <c r="M355" s="106"/>
    </row>
    <row r="356">
      <c r="A356" s="105"/>
      <c r="H356" s="106"/>
      <c r="M356" s="106"/>
    </row>
    <row r="357">
      <c r="A357" s="105"/>
      <c r="H357" s="106"/>
      <c r="M357" s="106"/>
    </row>
    <row r="358">
      <c r="A358" s="105"/>
      <c r="H358" s="106"/>
      <c r="M358" s="106"/>
    </row>
    <row r="359">
      <c r="A359" s="105"/>
      <c r="H359" s="106"/>
      <c r="M359" s="106"/>
    </row>
    <row r="360">
      <c r="A360" s="105"/>
      <c r="H360" s="106"/>
      <c r="M360" s="106"/>
    </row>
    <row r="361">
      <c r="A361" s="105"/>
      <c r="H361" s="106"/>
      <c r="M361" s="106"/>
    </row>
    <row r="362">
      <c r="A362" s="105"/>
      <c r="H362" s="106"/>
      <c r="M362" s="106"/>
    </row>
    <row r="363">
      <c r="A363" s="105"/>
      <c r="H363" s="106"/>
      <c r="M363" s="106"/>
    </row>
    <row r="364">
      <c r="A364" s="105"/>
      <c r="H364" s="106"/>
      <c r="M364" s="106"/>
    </row>
    <row r="365">
      <c r="A365" s="105"/>
      <c r="H365" s="106"/>
      <c r="M365" s="106"/>
    </row>
    <row r="366">
      <c r="A366" s="105"/>
      <c r="H366" s="106"/>
      <c r="M366" s="106"/>
    </row>
    <row r="367">
      <c r="A367" s="105"/>
      <c r="H367" s="106"/>
      <c r="M367" s="106"/>
    </row>
    <row r="368">
      <c r="A368" s="105"/>
      <c r="H368" s="106"/>
      <c r="M368" s="106"/>
    </row>
    <row r="369">
      <c r="A369" s="105"/>
      <c r="H369" s="106"/>
      <c r="M369" s="106"/>
    </row>
    <row r="370">
      <c r="A370" s="105"/>
      <c r="H370" s="106"/>
      <c r="M370" s="106"/>
    </row>
    <row r="371">
      <c r="A371" s="105"/>
      <c r="H371" s="106"/>
      <c r="M371" s="106"/>
    </row>
    <row r="372">
      <c r="A372" s="105"/>
      <c r="H372" s="106"/>
      <c r="M372" s="106"/>
    </row>
    <row r="373">
      <c r="A373" s="105"/>
      <c r="H373" s="106"/>
      <c r="M373" s="106"/>
    </row>
    <row r="374">
      <c r="A374" s="105"/>
      <c r="H374" s="106"/>
      <c r="M374" s="106"/>
    </row>
    <row r="375">
      <c r="A375" s="105"/>
      <c r="H375" s="106"/>
      <c r="M375" s="106"/>
    </row>
    <row r="376">
      <c r="A376" s="105"/>
      <c r="H376" s="106"/>
      <c r="M376" s="106"/>
    </row>
    <row r="377">
      <c r="A377" s="105"/>
      <c r="H377" s="106"/>
      <c r="M377" s="106"/>
    </row>
    <row r="378">
      <c r="A378" s="105"/>
      <c r="H378" s="106"/>
      <c r="M378" s="106"/>
    </row>
    <row r="379">
      <c r="A379" s="105"/>
      <c r="H379" s="106"/>
      <c r="M379" s="106"/>
    </row>
    <row r="380">
      <c r="A380" s="105"/>
      <c r="H380" s="106"/>
      <c r="M380" s="106"/>
    </row>
    <row r="381">
      <c r="A381" s="105"/>
      <c r="H381" s="106"/>
      <c r="M381" s="106"/>
    </row>
    <row r="382">
      <c r="A382" s="105"/>
      <c r="H382" s="106"/>
      <c r="M382" s="106"/>
    </row>
    <row r="383">
      <c r="A383" s="105"/>
      <c r="H383" s="106"/>
      <c r="M383" s="106"/>
    </row>
    <row r="384">
      <c r="A384" s="105"/>
      <c r="H384" s="106"/>
      <c r="M384" s="106"/>
    </row>
    <row r="385">
      <c r="A385" s="105"/>
      <c r="H385" s="106"/>
      <c r="M385" s="106"/>
    </row>
    <row r="386">
      <c r="A386" s="105"/>
      <c r="H386" s="106"/>
      <c r="M386" s="106"/>
    </row>
    <row r="387">
      <c r="A387" s="105"/>
      <c r="H387" s="106"/>
      <c r="M387" s="106"/>
    </row>
    <row r="388">
      <c r="A388" s="105"/>
      <c r="H388" s="106"/>
      <c r="M388" s="106"/>
    </row>
    <row r="389">
      <c r="A389" s="105"/>
      <c r="H389" s="106"/>
      <c r="M389" s="106"/>
    </row>
    <row r="390">
      <c r="A390" s="105"/>
      <c r="H390" s="106"/>
      <c r="M390" s="106"/>
    </row>
    <row r="391">
      <c r="A391" s="105"/>
      <c r="H391" s="106"/>
      <c r="M391" s="106"/>
    </row>
    <row r="392">
      <c r="A392" s="105"/>
      <c r="H392" s="106"/>
      <c r="M392" s="106"/>
    </row>
    <row r="393">
      <c r="A393" s="105"/>
      <c r="H393" s="106"/>
      <c r="M393" s="106"/>
    </row>
    <row r="394">
      <c r="A394" s="105"/>
      <c r="H394" s="106"/>
      <c r="M394" s="106"/>
    </row>
    <row r="395">
      <c r="A395" s="105"/>
      <c r="H395" s="106"/>
      <c r="M395" s="106"/>
    </row>
    <row r="396">
      <c r="A396" s="105"/>
      <c r="H396" s="106"/>
      <c r="M396" s="106"/>
    </row>
    <row r="397">
      <c r="A397" s="105"/>
      <c r="H397" s="106"/>
      <c r="M397" s="106"/>
    </row>
    <row r="398">
      <c r="A398" s="105"/>
      <c r="H398" s="106"/>
      <c r="M398" s="106"/>
    </row>
    <row r="399">
      <c r="A399" s="105"/>
      <c r="H399" s="106"/>
      <c r="M399" s="106"/>
    </row>
    <row r="400">
      <c r="A400" s="105"/>
      <c r="H400" s="106"/>
      <c r="M400" s="106"/>
    </row>
    <row r="401">
      <c r="A401" s="105"/>
      <c r="H401" s="106"/>
      <c r="M401" s="106"/>
    </row>
    <row r="402">
      <c r="A402" s="105"/>
      <c r="H402" s="106"/>
      <c r="M402" s="106"/>
    </row>
    <row r="403">
      <c r="A403" s="105"/>
      <c r="H403" s="106"/>
      <c r="M403" s="106"/>
    </row>
    <row r="404">
      <c r="A404" s="105"/>
      <c r="H404" s="106"/>
      <c r="M404" s="106"/>
    </row>
    <row r="405">
      <c r="A405" s="105"/>
      <c r="H405" s="106"/>
      <c r="M405" s="106"/>
    </row>
    <row r="406">
      <c r="A406" s="105"/>
      <c r="H406" s="106"/>
      <c r="M406" s="106"/>
    </row>
    <row r="407">
      <c r="A407" s="105"/>
      <c r="H407" s="106"/>
      <c r="M407" s="106"/>
    </row>
    <row r="408">
      <c r="A408" s="105"/>
      <c r="H408" s="106"/>
      <c r="M408" s="106"/>
    </row>
    <row r="409">
      <c r="A409" s="105"/>
      <c r="H409" s="106"/>
      <c r="M409" s="106"/>
    </row>
    <row r="410">
      <c r="A410" s="105"/>
      <c r="H410" s="106"/>
      <c r="M410" s="106"/>
    </row>
    <row r="411">
      <c r="A411" s="105"/>
      <c r="H411" s="106"/>
      <c r="M411" s="106"/>
    </row>
    <row r="412">
      <c r="A412" s="105"/>
      <c r="H412" s="106"/>
      <c r="M412" s="106"/>
    </row>
    <row r="413">
      <c r="A413" s="105"/>
      <c r="H413" s="106"/>
      <c r="M413" s="106"/>
    </row>
    <row r="414">
      <c r="A414" s="105"/>
      <c r="H414" s="106"/>
      <c r="M414" s="106"/>
    </row>
    <row r="415">
      <c r="A415" s="105"/>
      <c r="H415" s="106"/>
      <c r="M415" s="106"/>
    </row>
    <row r="416">
      <c r="A416" s="105"/>
      <c r="H416" s="106"/>
      <c r="M416" s="106"/>
    </row>
    <row r="417">
      <c r="A417" s="105"/>
      <c r="H417" s="106"/>
      <c r="M417" s="106"/>
    </row>
    <row r="418">
      <c r="A418" s="105"/>
      <c r="H418" s="106"/>
      <c r="M418" s="106"/>
    </row>
    <row r="419">
      <c r="A419" s="105"/>
      <c r="H419" s="106"/>
      <c r="M419" s="106"/>
    </row>
    <row r="420">
      <c r="A420" s="105"/>
      <c r="H420" s="106"/>
      <c r="M420" s="106"/>
    </row>
    <row r="421">
      <c r="A421" s="105"/>
      <c r="H421" s="106"/>
      <c r="M421" s="106"/>
    </row>
    <row r="422">
      <c r="A422" s="105"/>
      <c r="H422" s="106"/>
      <c r="M422" s="106"/>
    </row>
    <row r="423">
      <c r="A423" s="105"/>
      <c r="H423" s="106"/>
      <c r="M423" s="106"/>
    </row>
    <row r="424">
      <c r="A424" s="105"/>
      <c r="H424" s="106"/>
      <c r="M424" s="106"/>
    </row>
    <row r="425">
      <c r="A425" s="105"/>
      <c r="H425" s="106"/>
      <c r="M425" s="106"/>
    </row>
    <row r="426">
      <c r="A426" s="105"/>
      <c r="H426" s="106"/>
      <c r="M426" s="106"/>
    </row>
    <row r="427">
      <c r="A427" s="105"/>
      <c r="H427" s="106"/>
      <c r="M427" s="106"/>
    </row>
    <row r="428">
      <c r="A428" s="105"/>
      <c r="H428" s="106"/>
      <c r="M428" s="106"/>
    </row>
    <row r="429">
      <c r="A429" s="105"/>
      <c r="H429" s="106"/>
      <c r="M429" s="106"/>
    </row>
    <row r="430">
      <c r="A430" s="105"/>
      <c r="H430" s="106"/>
      <c r="M430" s="106"/>
    </row>
    <row r="431">
      <c r="A431" s="105"/>
      <c r="H431" s="106"/>
      <c r="M431" s="106"/>
    </row>
    <row r="432">
      <c r="A432" s="105"/>
      <c r="H432" s="106"/>
      <c r="M432" s="106"/>
    </row>
    <row r="433">
      <c r="A433" s="105"/>
      <c r="H433" s="106"/>
      <c r="M433" s="106"/>
    </row>
    <row r="434">
      <c r="A434" s="105"/>
      <c r="H434" s="106"/>
      <c r="M434" s="106"/>
    </row>
    <row r="435">
      <c r="A435" s="105"/>
      <c r="H435" s="106"/>
      <c r="M435" s="106"/>
    </row>
    <row r="436">
      <c r="A436" s="105"/>
      <c r="H436" s="106"/>
      <c r="M436" s="106"/>
    </row>
    <row r="437">
      <c r="A437" s="105"/>
      <c r="H437" s="106"/>
      <c r="M437" s="106"/>
    </row>
    <row r="438">
      <c r="A438" s="105"/>
      <c r="H438" s="106"/>
      <c r="M438" s="106"/>
    </row>
    <row r="439">
      <c r="A439" s="105"/>
      <c r="H439" s="106"/>
      <c r="M439" s="106"/>
    </row>
    <row r="440">
      <c r="A440" s="105"/>
      <c r="H440" s="106"/>
      <c r="M440" s="106"/>
    </row>
    <row r="441">
      <c r="A441" s="105"/>
      <c r="H441" s="106"/>
      <c r="M441" s="106"/>
    </row>
    <row r="442">
      <c r="A442" s="105"/>
      <c r="H442" s="106"/>
      <c r="M442" s="106"/>
    </row>
    <row r="443">
      <c r="A443" s="105"/>
      <c r="H443" s="106"/>
      <c r="M443" s="106"/>
    </row>
    <row r="444">
      <c r="A444" s="105"/>
      <c r="H444" s="106"/>
      <c r="M444" s="106"/>
    </row>
    <row r="445">
      <c r="A445" s="105"/>
      <c r="H445" s="106"/>
      <c r="M445" s="106"/>
    </row>
    <row r="446">
      <c r="A446" s="105"/>
      <c r="H446" s="106"/>
      <c r="M446" s="106"/>
    </row>
    <row r="447">
      <c r="A447" s="105"/>
      <c r="H447" s="106"/>
      <c r="M447" s="106"/>
    </row>
    <row r="448">
      <c r="A448" s="105"/>
      <c r="H448" s="106"/>
      <c r="M448" s="106"/>
    </row>
    <row r="449">
      <c r="A449" s="105"/>
      <c r="H449" s="106"/>
      <c r="M449" s="106"/>
    </row>
    <row r="450">
      <c r="A450" s="105"/>
      <c r="H450" s="106"/>
      <c r="M450" s="106"/>
    </row>
    <row r="451">
      <c r="A451" s="105"/>
      <c r="H451" s="106"/>
      <c r="M451" s="106"/>
    </row>
    <row r="452">
      <c r="A452" s="105"/>
      <c r="H452" s="106"/>
      <c r="M452" s="106"/>
    </row>
    <row r="453">
      <c r="A453" s="105"/>
      <c r="H453" s="106"/>
      <c r="M453" s="106"/>
    </row>
    <row r="454">
      <c r="A454" s="105"/>
      <c r="H454" s="106"/>
      <c r="M454" s="106"/>
    </row>
    <row r="455">
      <c r="A455" s="105"/>
      <c r="H455" s="106"/>
      <c r="M455" s="106"/>
    </row>
    <row r="456">
      <c r="A456" s="105"/>
      <c r="H456" s="106"/>
      <c r="M456" s="106"/>
    </row>
    <row r="457">
      <c r="A457" s="105"/>
      <c r="H457" s="106"/>
      <c r="M457" s="106"/>
    </row>
    <row r="458">
      <c r="A458" s="105"/>
      <c r="H458" s="106"/>
      <c r="M458" s="106"/>
    </row>
    <row r="459">
      <c r="A459" s="105"/>
      <c r="H459" s="106"/>
      <c r="M459" s="106"/>
    </row>
    <row r="460">
      <c r="A460" s="105"/>
      <c r="H460" s="106"/>
      <c r="M460" s="106"/>
    </row>
    <row r="461">
      <c r="A461" s="105"/>
      <c r="H461" s="106"/>
      <c r="M461" s="106"/>
    </row>
    <row r="462">
      <c r="A462" s="105"/>
      <c r="H462" s="106"/>
      <c r="M462" s="106"/>
    </row>
    <row r="463">
      <c r="A463" s="105"/>
      <c r="H463" s="106"/>
      <c r="M463" s="106"/>
    </row>
    <row r="464">
      <c r="A464" s="105"/>
      <c r="H464" s="106"/>
      <c r="M464" s="106"/>
    </row>
    <row r="465">
      <c r="A465" s="105"/>
      <c r="H465" s="106"/>
      <c r="M465" s="106"/>
    </row>
    <row r="466">
      <c r="A466" s="105"/>
      <c r="H466" s="106"/>
      <c r="M466" s="106"/>
    </row>
    <row r="467">
      <c r="A467" s="105"/>
      <c r="H467" s="106"/>
      <c r="M467" s="106"/>
    </row>
    <row r="468">
      <c r="A468" s="105"/>
      <c r="H468" s="106"/>
      <c r="M468" s="106"/>
    </row>
    <row r="469">
      <c r="A469" s="105"/>
      <c r="H469" s="106"/>
      <c r="M469" s="106"/>
    </row>
    <row r="470">
      <c r="A470" s="105"/>
      <c r="H470" s="106"/>
      <c r="M470" s="106"/>
    </row>
    <row r="471">
      <c r="A471" s="105"/>
      <c r="H471" s="106"/>
      <c r="M471" s="106"/>
    </row>
    <row r="472">
      <c r="A472" s="105"/>
      <c r="H472" s="106"/>
      <c r="M472" s="106"/>
    </row>
    <row r="473">
      <c r="A473" s="105"/>
      <c r="H473" s="106"/>
      <c r="M473" s="106"/>
    </row>
    <row r="474">
      <c r="A474" s="105"/>
      <c r="H474" s="106"/>
      <c r="M474" s="106"/>
    </row>
    <row r="475">
      <c r="A475" s="105"/>
      <c r="H475" s="106"/>
      <c r="M475" s="106"/>
    </row>
    <row r="476">
      <c r="A476" s="105"/>
      <c r="H476" s="106"/>
      <c r="M476" s="106"/>
    </row>
    <row r="477">
      <c r="A477" s="105"/>
      <c r="H477" s="106"/>
      <c r="M477" s="106"/>
    </row>
    <row r="478">
      <c r="A478" s="105"/>
      <c r="H478" s="106"/>
      <c r="M478" s="106"/>
    </row>
    <row r="479">
      <c r="A479" s="105"/>
      <c r="H479" s="106"/>
      <c r="M479" s="106"/>
    </row>
    <row r="480">
      <c r="A480" s="105"/>
      <c r="H480" s="106"/>
      <c r="M480" s="106"/>
    </row>
    <row r="481">
      <c r="A481" s="105"/>
      <c r="H481" s="106"/>
      <c r="M481" s="106"/>
    </row>
    <row r="482">
      <c r="A482" s="105"/>
      <c r="H482" s="106"/>
      <c r="M482" s="106"/>
    </row>
    <row r="483">
      <c r="A483" s="105"/>
      <c r="H483" s="106"/>
      <c r="M483" s="106"/>
    </row>
    <row r="484">
      <c r="A484" s="105"/>
      <c r="H484" s="106"/>
      <c r="M484" s="106"/>
    </row>
    <row r="485">
      <c r="A485" s="105"/>
      <c r="H485" s="106"/>
      <c r="M485" s="106"/>
    </row>
    <row r="486">
      <c r="A486" s="105"/>
      <c r="H486" s="106"/>
      <c r="M486" s="106"/>
    </row>
    <row r="487">
      <c r="A487" s="105"/>
      <c r="H487" s="106"/>
      <c r="M487" s="106"/>
    </row>
    <row r="488">
      <c r="A488" s="105"/>
      <c r="H488" s="106"/>
      <c r="M488" s="106"/>
    </row>
    <row r="489">
      <c r="A489" s="105"/>
      <c r="H489" s="106"/>
      <c r="M489" s="106"/>
    </row>
    <row r="490">
      <c r="A490" s="105"/>
      <c r="H490" s="106"/>
      <c r="M490" s="106"/>
    </row>
    <row r="491">
      <c r="A491" s="105"/>
      <c r="H491" s="106"/>
      <c r="M491" s="106"/>
    </row>
    <row r="492">
      <c r="A492" s="105"/>
      <c r="H492" s="106"/>
      <c r="M492" s="106"/>
    </row>
    <row r="493">
      <c r="A493" s="105"/>
      <c r="H493" s="106"/>
      <c r="M493" s="106"/>
    </row>
    <row r="494">
      <c r="A494" s="105"/>
      <c r="H494" s="106"/>
      <c r="M494" s="106"/>
    </row>
    <row r="495">
      <c r="A495" s="105"/>
      <c r="H495" s="106"/>
      <c r="M495" s="106"/>
    </row>
    <row r="496">
      <c r="A496" s="105"/>
      <c r="H496" s="106"/>
      <c r="M496" s="106"/>
    </row>
    <row r="497">
      <c r="A497" s="105"/>
      <c r="H497" s="106"/>
      <c r="M497" s="106"/>
    </row>
    <row r="498">
      <c r="A498" s="105"/>
      <c r="H498" s="106"/>
      <c r="M498" s="106"/>
    </row>
    <row r="499">
      <c r="A499" s="105"/>
      <c r="H499" s="106"/>
      <c r="M499" s="106"/>
    </row>
    <row r="500">
      <c r="A500" s="105"/>
      <c r="H500" s="106"/>
      <c r="M500" s="106"/>
    </row>
    <row r="501">
      <c r="A501" s="105"/>
      <c r="H501" s="106"/>
      <c r="M501" s="106"/>
    </row>
    <row r="502">
      <c r="A502" s="105"/>
      <c r="H502" s="106"/>
      <c r="M502" s="106"/>
    </row>
    <row r="503">
      <c r="A503" s="105"/>
      <c r="H503" s="106"/>
      <c r="M503" s="106"/>
    </row>
    <row r="504">
      <c r="A504" s="105"/>
      <c r="H504" s="106"/>
      <c r="M504" s="106"/>
    </row>
    <row r="505">
      <c r="A505" s="105"/>
      <c r="H505" s="106"/>
      <c r="M505" s="106"/>
    </row>
    <row r="506">
      <c r="A506" s="105"/>
      <c r="H506" s="106"/>
      <c r="M506" s="106"/>
    </row>
    <row r="507">
      <c r="A507" s="105"/>
      <c r="H507" s="106"/>
      <c r="M507" s="106"/>
    </row>
    <row r="508">
      <c r="A508" s="105"/>
      <c r="H508" s="106"/>
      <c r="M508" s="106"/>
    </row>
    <row r="509">
      <c r="A509" s="105"/>
      <c r="H509" s="106"/>
      <c r="M509" s="106"/>
    </row>
    <row r="510">
      <c r="A510" s="105"/>
      <c r="H510" s="106"/>
      <c r="M510" s="106"/>
    </row>
    <row r="511">
      <c r="A511" s="105"/>
      <c r="H511" s="106"/>
      <c r="M511" s="106"/>
    </row>
    <row r="512">
      <c r="A512" s="105"/>
      <c r="H512" s="106"/>
      <c r="M512" s="106"/>
    </row>
    <row r="513">
      <c r="A513" s="105"/>
      <c r="H513" s="106"/>
      <c r="M513" s="106"/>
    </row>
    <row r="514">
      <c r="A514" s="105"/>
      <c r="H514" s="106"/>
      <c r="M514" s="106"/>
    </row>
    <row r="515">
      <c r="A515" s="105"/>
      <c r="H515" s="106"/>
      <c r="M515" s="106"/>
    </row>
    <row r="516">
      <c r="A516" s="105"/>
      <c r="H516" s="106"/>
      <c r="M516" s="106"/>
    </row>
    <row r="517">
      <c r="A517" s="105"/>
      <c r="H517" s="106"/>
      <c r="M517" s="106"/>
    </row>
    <row r="518">
      <c r="A518" s="105"/>
      <c r="H518" s="106"/>
      <c r="M518" s="106"/>
    </row>
    <row r="519">
      <c r="A519" s="105"/>
      <c r="H519" s="106"/>
      <c r="M519" s="106"/>
    </row>
    <row r="520">
      <c r="A520" s="105"/>
      <c r="H520" s="106"/>
      <c r="M520" s="106"/>
    </row>
    <row r="521">
      <c r="A521" s="105"/>
      <c r="H521" s="106"/>
      <c r="M521" s="106"/>
    </row>
    <row r="522">
      <c r="A522" s="105"/>
      <c r="H522" s="106"/>
      <c r="M522" s="106"/>
    </row>
    <row r="523">
      <c r="A523" s="105"/>
      <c r="H523" s="106"/>
      <c r="M523" s="106"/>
    </row>
    <row r="524">
      <c r="A524" s="105"/>
      <c r="H524" s="106"/>
      <c r="M524" s="106"/>
    </row>
    <row r="525">
      <c r="A525" s="105"/>
      <c r="H525" s="106"/>
      <c r="M525" s="106"/>
    </row>
    <row r="526">
      <c r="A526" s="105"/>
      <c r="H526" s="106"/>
      <c r="M526" s="106"/>
    </row>
    <row r="527">
      <c r="A527" s="105"/>
      <c r="H527" s="106"/>
      <c r="M527" s="106"/>
    </row>
    <row r="528">
      <c r="A528" s="105"/>
      <c r="H528" s="106"/>
      <c r="M528" s="106"/>
    </row>
    <row r="529">
      <c r="A529" s="105"/>
      <c r="H529" s="106"/>
      <c r="M529" s="106"/>
    </row>
    <row r="530">
      <c r="A530" s="105"/>
      <c r="H530" s="106"/>
      <c r="M530" s="106"/>
    </row>
    <row r="531">
      <c r="A531" s="105"/>
      <c r="H531" s="106"/>
      <c r="M531" s="106"/>
    </row>
    <row r="532">
      <c r="A532" s="105"/>
      <c r="H532" s="106"/>
      <c r="M532" s="106"/>
    </row>
    <row r="533">
      <c r="A533" s="105"/>
      <c r="H533" s="106"/>
      <c r="M533" s="106"/>
    </row>
    <row r="534">
      <c r="A534" s="105"/>
      <c r="H534" s="106"/>
      <c r="M534" s="106"/>
    </row>
    <row r="535">
      <c r="A535" s="105"/>
      <c r="H535" s="106"/>
      <c r="M535" s="106"/>
    </row>
    <row r="536">
      <c r="A536" s="105"/>
      <c r="H536" s="106"/>
      <c r="M536" s="106"/>
    </row>
    <row r="537">
      <c r="A537" s="105"/>
      <c r="H537" s="106"/>
      <c r="M537" s="106"/>
    </row>
    <row r="538">
      <c r="A538" s="105"/>
      <c r="H538" s="106"/>
      <c r="M538" s="106"/>
    </row>
    <row r="539">
      <c r="A539" s="105"/>
      <c r="H539" s="106"/>
      <c r="M539" s="106"/>
    </row>
    <row r="540">
      <c r="A540" s="105"/>
      <c r="H540" s="106"/>
      <c r="M540" s="106"/>
    </row>
    <row r="541">
      <c r="A541" s="105"/>
      <c r="H541" s="106"/>
      <c r="M541" s="106"/>
    </row>
    <row r="542">
      <c r="A542" s="105"/>
      <c r="H542" s="106"/>
      <c r="M542" s="106"/>
    </row>
    <row r="543">
      <c r="A543" s="105"/>
      <c r="H543" s="106"/>
      <c r="M543" s="106"/>
    </row>
    <row r="544">
      <c r="A544" s="105"/>
      <c r="H544" s="106"/>
      <c r="M544" s="106"/>
    </row>
    <row r="545">
      <c r="A545" s="105"/>
      <c r="H545" s="106"/>
      <c r="M545" s="106"/>
    </row>
    <row r="546">
      <c r="A546" s="105"/>
      <c r="H546" s="106"/>
      <c r="M546" s="106"/>
    </row>
    <row r="547">
      <c r="A547" s="105"/>
      <c r="H547" s="106"/>
      <c r="M547" s="106"/>
    </row>
    <row r="548">
      <c r="A548" s="105"/>
      <c r="H548" s="106"/>
      <c r="M548" s="106"/>
    </row>
    <row r="549">
      <c r="A549" s="105"/>
      <c r="H549" s="106"/>
      <c r="M549" s="106"/>
    </row>
    <row r="550">
      <c r="A550" s="105"/>
      <c r="H550" s="106"/>
      <c r="M550" s="106"/>
    </row>
    <row r="551">
      <c r="A551" s="105"/>
      <c r="H551" s="106"/>
      <c r="M551" s="106"/>
    </row>
    <row r="552">
      <c r="A552" s="105"/>
      <c r="H552" s="106"/>
      <c r="M552" s="106"/>
    </row>
    <row r="553">
      <c r="A553" s="105"/>
      <c r="H553" s="106"/>
      <c r="M553" s="106"/>
    </row>
    <row r="554">
      <c r="A554" s="105"/>
      <c r="H554" s="106"/>
      <c r="M554" s="106"/>
    </row>
    <row r="555">
      <c r="A555" s="105"/>
      <c r="H555" s="106"/>
      <c r="M555" s="106"/>
    </row>
    <row r="556">
      <c r="A556" s="105"/>
      <c r="H556" s="106"/>
      <c r="M556" s="106"/>
    </row>
    <row r="557">
      <c r="A557" s="105"/>
      <c r="H557" s="106"/>
      <c r="M557" s="106"/>
    </row>
    <row r="558">
      <c r="A558" s="105"/>
      <c r="H558" s="106"/>
      <c r="M558" s="106"/>
    </row>
    <row r="559">
      <c r="A559" s="105"/>
      <c r="H559" s="106"/>
      <c r="M559" s="106"/>
    </row>
    <row r="560">
      <c r="A560" s="105"/>
      <c r="H560" s="106"/>
      <c r="M560" s="106"/>
    </row>
    <row r="561">
      <c r="A561" s="105"/>
      <c r="H561" s="106"/>
      <c r="M561" s="106"/>
    </row>
    <row r="562">
      <c r="A562" s="105"/>
      <c r="H562" s="106"/>
      <c r="M562" s="106"/>
    </row>
    <row r="563">
      <c r="A563" s="105"/>
      <c r="H563" s="106"/>
      <c r="M563" s="106"/>
    </row>
    <row r="564">
      <c r="A564" s="105"/>
      <c r="H564" s="106"/>
      <c r="M564" s="106"/>
    </row>
    <row r="565">
      <c r="A565" s="105"/>
      <c r="H565" s="106"/>
      <c r="M565" s="106"/>
    </row>
    <row r="566">
      <c r="A566" s="105"/>
      <c r="H566" s="106"/>
      <c r="M566" s="106"/>
    </row>
    <row r="567">
      <c r="A567" s="105"/>
      <c r="H567" s="106"/>
      <c r="M567" s="106"/>
    </row>
    <row r="568">
      <c r="A568" s="105"/>
      <c r="H568" s="106"/>
      <c r="M568" s="106"/>
    </row>
    <row r="569">
      <c r="A569" s="105"/>
      <c r="H569" s="106"/>
      <c r="M569" s="106"/>
    </row>
    <row r="570">
      <c r="A570" s="105"/>
      <c r="H570" s="106"/>
      <c r="M570" s="106"/>
    </row>
    <row r="571">
      <c r="A571" s="105"/>
      <c r="H571" s="106"/>
      <c r="M571" s="106"/>
    </row>
    <row r="572">
      <c r="A572" s="105"/>
      <c r="H572" s="106"/>
      <c r="M572" s="106"/>
    </row>
    <row r="573">
      <c r="A573" s="105"/>
      <c r="H573" s="106"/>
      <c r="M573" s="106"/>
    </row>
    <row r="574">
      <c r="A574" s="105"/>
      <c r="H574" s="106"/>
      <c r="M574" s="106"/>
    </row>
    <row r="575">
      <c r="A575" s="105"/>
      <c r="H575" s="106"/>
      <c r="M575" s="106"/>
    </row>
    <row r="576">
      <c r="A576" s="105"/>
      <c r="H576" s="106"/>
      <c r="M576" s="106"/>
    </row>
    <row r="577">
      <c r="A577" s="105"/>
      <c r="H577" s="106"/>
      <c r="M577" s="106"/>
    </row>
    <row r="578">
      <c r="A578" s="105"/>
      <c r="H578" s="106"/>
      <c r="M578" s="106"/>
    </row>
    <row r="579">
      <c r="A579" s="105"/>
      <c r="H579" s="106"/>
      <c r="M579" s="106"/>
    </row>
    <row r="580">
      <c r="A580" s="105"/>
      <c r="H580" s="106"/>
      <c r="M580" s="106"/>
    </row>
    <row r="581">
      <c r="A581" s="105"/>
      <c r="H581" s="106"/>
      <c r="M581" s="106"/>
    </row>
    <row r="582">
      <c r="A582" s="105"/>
      <c r="H582" s="106"/>
      <c r="M582" s="106"/>
    </row>
    <row r="583">
      <c r="A583" s="105"/>
      <c r="H583" s="106"/>
      <c r="M583" s="106"/>
    </row>
    <row r="584">
      <c r="A584" s="105"/>
      <c r="H584" s="106"/>
      <c r="M584" s="106"/>
    </row>
    <row r="585">
      <c r="A585" s="105"/>
      <c r="H585" s="106"/>
      <c r="M585" s="106"/>
    </row>
    <row r="586">
      <c r="A586" s="105"/>
      <c r="H586" s="106"/>
      <c r="M586" s="106"/>
    </row>
    <row r="587">
      <c r="A587" s="105"/>
      <c r="H587" s="106"/>
      <c r="M587" s="106"/>
    </row>
    <row r="588">
      <c r="A588" s="105"/>
      <c r="H588" s="106"/>
      <c r="M588" s="106"/>
    </row>
    <row r="589">
      <c r="A589" s="105"/>
      <c r="H589" s="106"/>
      <c r="M589" s="106"/>
    </row>
    <row r="590">
      <c r="A590" s="105"/>
      <c r="H590" s="106"/>
      <c r="M590" s="106"/>
    </row>
    <row r="591">
      <c r="A591" s="105"/>
      <c r="H591" s="106"/>
      <c r="M591" s="106"/>
    </row>
    <row r="592">
      <c r="A592" s="105"/>
      <c r="H592" s="106"/>
      <c r="M592" s="106"/>
    </row>
    <row r="593">
      <c r="A593" s="105"/>
      <c r="H593" s="106"/>
      <c r="M593" s="106"/>
    </row>
    <row r="594">
      <c r="A594" s="105"/>
      <c r="H594" s="106"/>
      <c r="M594" s="106"/>
    </row>
    <row r="595">
      <c r="A595" s="105"/>
      <c r="H595" s="106"/>
      <c r="M595" s="106"/>
    </row>
    <row r="596">
      <c r="A596" s="105"/>
      <c r="H596" s="106"/>
      <c r="M596" s="106"/>
    </row>
    <row r="597">
      <c r="A597" s="105"/>
      <c r="H597" s="106"/>
      <c r="M597" s="106"/>
    </row>
    <row r="598">
      <c r="A598" s="105"/>
      <c r="H598" s="106"/>
      <c r="M598" s="106"/>
    </row>
    <row r="599">
      <c r="A599" s="105"/>
      <c r="H599" s="106"/>
      <c r="M599" s="106"/>
    </row>
    <row r="600">
      <c r="A600" s="105"/>
      <c r="H600" s="106"/>
      <c r="M600" s="106"/>
    </row>
    <row r="601">
      <c r="A601" s="105"/>
      <c r="H601" s="106"/>
      <c r="M601" s="106"/>
    </row>
    <row r="602">
      <c r="A602" s="105"/>
      <c r="H602" s="106"/>
      <c r="M602" s="106"/>
    </row>
    <row r="603">
      <c r="A603" s="105"/>
      <c r="H603" s="106"/>
      <c r="M603" s="106"/>
    </row>
    <row r="604">
      <c r="A604" s="105"/>
      <c r="H604" s="106"/>
      <c r="M604" s="106"/>
    </row>
    <row r="605">
      <c r="A605" s="105"/>
      <c r="H605" s="106"/>
      <c r="M605" s="106"/>
    </row>
    <row r="606">
      <c r="A606" s="105"/>
      <c r="H606" s="106"/>
      <c r="M606" s="106"/>
    </row>
    <row r="607">
      <c r="A607" s="105"/>
      <c r="H607" s="106"/>
      <c r="M607" s="106"/>
    </row>
    <row r="608">
      <c r="A608" s="105"/>
      <c r="H608" s="106"/>
      <c r="M608" s="106"/>
    </row>
    <row r="609">
      <c r="A609" s="105"/>
      <c r="H609" s="106"/>
      <c r="M609" s="106"/>
    </row>
    <row r="610">
      <c r="A610" s="105"/>
      <c r="H610" s="106"/>
      <c r="M610" s="106"/>
    </row>
    <row r="611">
      <c r="A611" s="105"/>
      <c r="H611" s="106"/>
      <c r="M611" s="106"/>
    </row>
    <row r="612">
      <c r="A612" s="105"/>
      <c r="H612" s="106"/>
      <c r="M612" s="106"/>
    </row>
    <row r="613">
      <c r="A613" s="105"/>
      <c r="H613" s="106"/>
      <c r="M613" s="106"/>
    </row>
    <row r="614">
      <c r="A614" s="105"/>
      <c r="H614" s="106"/>
      <c r="M614" s="106"/>
    </row>
    <row r="615">
      <c r="A615" s="105"/>
      <c r="H615" s="106"/>
      <c r="M615" s="106"/>
    </row>
    <row r="616">
      <c r="A616" s="105"/>
      <c r="H616" s="106"/>
      <c r="M616" s="106"/>
    </row>
    <row r="617">
      <c r="A617" s="105"/>
      <c r="H617" s="106"/>
      <c r="M617" s="106"/>
    </row>
    <row r="618">
      <c r="A618" s="105"/>
      <c r="H618" s="106"/>
      <c r="M618" s="106"/>
    </row>
    <row r="619">
      <c r="A619" s="105"/>
      <c r="H619" s="106"/>
      <c r="M619" s="106"/>
    </row>
    <row r="620">
      <c r="A620" s="105"/>
      <c r="H620" s="106"/>
      <c r="M620" s="106"/>
    </row>
    <row r="621">
      <c r="A621" s="105"/>
      <c r="H621" s="106"/>
      <c r="M621" s="106"/>
    </row>
    <row r="622">
      <c r="A622" s="105"/>
      <c r="H622" s="106"/>
      <c r="M622" s="106"/>
    </row>
    <row r="623">
      <c r="A623" s="105"/>
      <c r="H623" s="106"/>
      <c r="M623" s="106"/>
    </row>
    <row r="624">
      <c r="A624" s="105"/>
      <c r="H624" s="106"/>
      <c r="M624" s="106"/>
    </row>
    <row r="625">
      <c r="A625" s="105"/>
      <c r="H625" s="106"/>
      <c r="M625" s="106"/>
    </row>
    <row r="626">
      <c r="A626" s="105"/>
      <c r="H626" s="106"/>
      <c r="M626" s="106"/>
    </row>
    <row r="627">
      <c r="A627" s="105"/>
      <c r="H627" s="106"/>
      <c r="M627" s="106"/>
    </row>
    <row r="628">
      <c r="A628" s="105"/>
      <c r="H628" s="106"/>
      <c r="M628" s="106"/>
    </row>
    <row r="629">
      <c r="A629" s="105"/>
      <c r="H629" s="106"/>
      <c r="M629" s="106"/>
    </row>
    <row r="630">
      <c r="A630" s="105"/>
      <c r="H630" s="106"/>
      <c r="M630" s="106"/>
    </row>
    <row r="631">
      <c r="A631" s="105"/>
      <c r="H631" s="106"/>
      <c r="M631" s="106"/>
    </row>
    <row r="632">
      <c r="A632" s="105"/>
      <c r="H632" s="106"/>
      <c r="M632" s="106"/>
    </row>
    <row r="633">
      <c r="A633" s="105"/>
      <c r="H633" s="106"/>
      <c r="M633" s="106"/>
    </row>
    <row r="634">
      <c r="A634" s="105"/>
      <c r="H634" s="106"/>
      <c r="M634" s="106"/>
    </row>
    <row r="635">
      <c r="A635" s="105"/>
      <c r="H635" s="106"/>
      <c r="M635" s="106"/>
    </row>
    <row r="636">
      <c r="A636" s="105"/>
      <c r="H636" s="106"/>
      <c r="M636" s="106"/>
    </row>
    <row r="637">
      <c r="A637" s="105"/>
      <c r="H637" s="106"/>
      <c r="M637" s="106"/>
    </row>
    <row r="638">
      <c r="A638" s="105"/>
      <c r="H638" s="106"/>
      <c r="M638" s="106"/>
    </row>
    <row r="639">
      <c r="A639" s="105"/>
      <c r="H639" s="106"/>
      <c r="M639" s="106"/>
    </row>
    <row r="640">
      <c r="A640" s="105"/>
      <c r="H640" s="106"/>
      <c r="M640" s="106"/>
    </row>
    <row r="641">
      <c r="A641" s="105"/>
      <c r="H641" s="106"/>
      <c r="M641" s="106"/>
    </row>
    <row r="642">
      <c r="A642" s="105"/>
      <c r="H642" s="106"/>
      <c r="M642" s="106"/>
    </row>
    <row r="643">
      <c r="A643" s="105"/>
      <c r="H643" s="106"/>
      <c r="M643" s="106"/>
    </row>
    <row r="644">
      <c r="A644" s="105"/>
      <c r="H644" s="106"/>
      <c r="M644" s="106"/>
    </row>
    <row r="645">
      <c r="A645" s="105"/>
      <c r="H645" s="106"/>
      <c r="M645" s="106"/>
    </row>
    <row r="646">
      <c r="A646" s="105"/>
      <c r="H646" s="106"/>
      <c r="M646" s="106"/>
    </row>
    <row r="647">
      <c r="A647" s="105"/>
      <c r="H647" s="106"/>
      <c r="M647" s="106"/>
    </row>
    <row r="648">
      <c r="A648" s="105"/>
      <c r="H648" s="106"/>
      <c r="M648" s="106"/>
    </row>
    <row r="649">
      <c r="A649" s="105"/>
      <c r="H649" s="106"/>
      <c r="M649" s="106"/>
    </row>
    <row r="650">
      <c r="A650" s="105"/>
      <c r="H650" s="106"/>
      <c r="M650" s="106"/>
    </row>
    <row r="651">
      <c r="A651" s="105"/>
      <c r="H651" s="106"/>
      <c r="M651" s="106"/>
    </row>
    <row r="652">
      <c r="A652" s="105"/>
      <c r="H652" s="106"/>
      <c r="M652" s="106"/>
    </row>
    <row r="653">
      <c r="A653" s="105"/>
      <c r="H653" s="106"/>
      <c r="M653" s="106"/>
    </row>
    <row r="654">
      <c r="A654" s="105"/>
      <c r="H654" s="106"/>
      <c r="M654" s="106"/>
    </row>
    <row r="655">
      <c r="A655" s="105"/>
      <c r="H655" s="106"/>
      <c r="M655" s="106"/>
    </row>
    <row r="656">
      <c r="A656" s="105"/>
      <c r="H656" s="106"/>
      <c r="M656" s="106"/>
    </row>
    <row r="657">
      <c r="A657" s="105"/>
      <c r="H657" s="106"/>
      <c r="M657" s="106"/>
    </row>
    <row r="658">
      <c r="A658" s="105"/>
      <c r="H658" s="106"/>
      <c r="M658" s="106"/>
    </row>
    <row r="659">
      <c r="A659" s="105"/>
      <c r="H659" s="106"/>
      <c r="M659" s="106"/>
    </row>
    <row r="660">
      <c r="A660" s="105"/>
      <c r="H660" s="106"/>
      <c r="M660" s="106"/>
    </row>
    <row r="661">
      <c r="A661" s="105"/>
      <c r="H661" s="106"/>
      <c r="M661" s="106"/>
    </row>
    <row r="662">
      <c r="A662" s="105"/>
      <c r="H662" s="106"/>
      <c r="M662" s="106"/>
    </row>
    <row r="663">
      <c r="A663" s="105"/>
      <c r="H663" s="106"/>
      <c r="M663" s="106"/>
    </row>
    <row r="664">
      <c r="A664" s="105"/>
      <c r="H664" s="106"/>
      <c r="M664" s="106"/>
    </row>
    <row r="665">
      <c r="A665" s="105"/>
      <c r="H665" s="106"/>
      <c r="M665" s="106"/>
    </row>
    <row r="666">
      <c r="A666" s="105"/>
      <c r="H666" s="106"/>
      <c r="M666" s="106"/>
    </row>
    <row r="667">
      <c r="A667" s="105"/>
      <c r="H667" s="106"/>
      <c r="M667" s="106"/>
    </row>
    <row r="668">
      <c r="A668" s="105"/>
      <c r="H668" s="106"/>
      <c r="M668" s="106"/>
    </row>
    <row r="669">
      <c r="A669" s="105"/>
      <c r="H669" s="106"/>
      <c r="M669" s="106"/>
    </row>
    <row r="670">
      <c r="A670" s="105"/>
      <c r="H670" s="106"/>
      <c r="M670" s="106"/>
    </row>
    <row r="671">
      <c r="A671" s="105"/>
      <c r="H671" s="106"/>
      <c r="M671" s="106"/>
    </row>
    <row r="672">
      <c r="A672" s="105"/>
      <c r="H672" s="106"/>
      <c r="M672" s="106"/>
    </row>
    <row r="673">
      <c r="A673" s="105"/>
      <c r="H673" s="106"/>
      <c r="M673" s="106"/>
    </row>
    <row r="674">
      <c r="A674" s="105"/>
      <c r="H674" s="106"/>
      <c r="M674" s="106"/>
    </row>
    <row r="675">
      <c r="A675" s="105"/>
      <c r="H675" s="106"/>
      <c r="M675" s="106"/>
    </row>
    <row r="676">
      <c r="A676" s="105"/>
      <c r="H676" s="106"/>
      <c r="M676" s="106"/>
    </row>
    <row r="677">
      <c r="A677" s="105"/>
      <c r="H677" s="106"/>
      <c r="M677" s="106"/>
    </row>
    <row r="678">
      <c r="A678" s="105"/>
      <c r="H678" s="106"/>
      <c r="M678" s="106"/>
    </row>
    <row r="679">
      <c r="A679" s="105"/>
      <c r="H679" s="106"/>
      <c r="M679" s="106"/>
    </row>
    <row r="680">
      <c r="A680" s="105"/>
      <c r="H680" s="106"/>
      <c r="M680" s="106"/>
    </row>
    <row r="681">
      <c r="A681" s="105"/>
      <c r="H681" s="106"/>
      <c r="M681" s="106"/>
    </row>
    <row r="682">
      <c r="A682" s="105"/>
      <c r="H682" s="106"/>
      <c r="M682" s="106"/>
    </row>
    <row r="683">
      <c r="A683" s="105"/>
      <c r="H683" s="106"/>
      <c r="M683" s="106"/>
    </row>
    <row r="684">
      <c r="A684" s="105"/>
      <c r="H684" s="106"/>
      <c r="M684" s="106"/>
    </row>
    <row r="685">
      <c r="A685" s="105"/>
      <c r="H685" s="106"/>
      <c r="M685" s="106"/>
    </row>
    <row r="686">
      <c r="A686" s="105"/>
      <c r="H686" s="106"/>
      <c r="M686" s="106"/>
    </row>
    <row r="687">
      <c r="A687" s="105"/>
      <c r="H687" s="106"/>
      <c r="M687" s="106"/>
    </row>
    <row r="688">
      <c r="A688" s="105"/>
      <c r="H688" s="106"/>
      <c r="M688" s="106"/>
    </row>
    <row r="689">
      <c r="A689" s="105"/>
      <c r="H689" s="106"/>
      <c r="M689" s="106"/>
    </row>
    <row r="690">
      <c r="A690" s="105"/>
      <c r="H690" s="106"/>
      <c r="M690" s="106"/>
    </row>
    <row r="691">
      <c r="A691" s="105"/>
      <c r="H691" s="106"/>
      <c r="M691" s="106"/>
    </row>
    <row r="692">
      <c r="A692" s="105"/>
      <c r="H692" s="106"/>
      <c r="M692" s="106"/>
    </row>
    <row r="693">
      <c r="A693" s="105"/>
      <c r="H693" s="106"/>
      <c r="M693" s="106"/>
    </row>
    <row r="694">
      <c r="A694" s="105"/>
      <c r="H694" s="106"/>
      <c r="M694" s="106"/>
    </row>
    <row r="695">
      <c r="A695" s="105"/>
      <c r="H695" s="106"/>
      <c r="M695" s="106"/>
    </row>
    <row r="696">
      <c r="A696" s="105"/>
      <c r="H696" s="106"/>
      <c r="M696" s="106"/>
    </row>
    <row r="697">
      <c r="A697" s="105"/>
      <c r="H697" s="106"/>
      <c r="M697" s="106"/>
    </row>
    <row r="698">
      <c r="A698" s="105"/>
      <c r="H698" s="106"/>
      <c r="M698" s="106"/>
    </row>
    <row r="699">
      <c r="A699" s="105"/>
      <c r="H699" s="106"/>
      <c r="M699" s="106"/>
    </row>
    <row r="700">
      <c r="A700" s="105"/>
      <c r="H700" s="106"/>
      <c r="M700" s="106"/>
    </row>
    <row r="701">
      <c r="A701" s="105"/>
      <c r="H701" s="106"/>
      <c r="M701" s="106"/>
    </row>
    <row r="702">
      <c r="A702" s="105"/>
      <c r="H702" s="106"/>
      <c r="M702" s="106"/>
    </row>
    <row r="703">
      <c r="A703" s="105"/>
      <c r="H703" s="106"/>
      <c r="M703" s="106"/>
    </row>
    <row r="704">
      <c r="A704" s="105"/>
      <c r="H704" s="106"/>
      <c r="M704" s="106"/>
    </row>
    <row r="705">
      <c r="A705" s="105"/>
      <c r="H705" s="106"/>
      <c r="M705" s="106"/>
    </row>
    <row r="706">
      <c r="A706" s="105"/>
      <c r="H706" s="106"/>
      <c r="M706" s="106"/>
    </row>
    <row r="707">
      <c r="A707" s="105"/>
      <c r="H707" s="106"/>
      <c r="M707" s="106"/>
    </row>
    <row r="708">
      <c r="A708" s="105"/>
      <c r="H708" s="106"/>
      <c r="M708" s="106"/>
    </row>
    <row r="709">
      <c r="A709" s="105"/>
      <c r="H709" s="106"/>
      <c r="M709" s="106"/>
    </row>
    <row r="710">
      <c r="A710" s="105"/>
      <c r="H710" s="106"/>
      <c r="M710" s="106"/>
    </row>
    <row r="711">
      <c r="A711" s="105"/>
      <c r="H711" s="106"/>
      <c r="M711" s="106"/>
    </row>
    <row r="712">
      <c r="A712" s="105"/>
      <c r="H712" s="106"/>
      <c r="M712" s="106"/>
    </row>
    <row r="713">
      <c r="A713" s="105"/>
      <c r="H713" s="106"/>
      <c r="M713" s="106"/>
    </row>
    <row r="714">
      <c r="A714" s="105"/>
      <c r="H714" s="106"/>
      <c r="M714" s="106"/>
    </row>
    <row r="715">
      <c r="A715" s="105"/>
      <c r="H715" s="106"/>
      <c r="M715" s="106"/>
    </row>
    <row r="716">
      <c r="A716" s="105"/>
      <c r="H716" s="106"/>
      <c r="M716" s="106"/>
    </row>
    <row r="717">
      <c r="A717" s="105"/>
      <c r="H717" s="106"/>
      <c r="M717" s="106"/>
    </row>
    <row r="718">
      <c r="A718" s="105"/>
      <c r="H718" s="106"/>
      <c r="M718" s="106"/>
    </row>
    <row r="719">
      <c r="A719" s="105"/>
      <c r="H719" s="106"/>
      <c r="M719" s="106"/>
    </row>
    <row r="720">
      <c r="A720" s="105"/>
      <c r="H720" s="106"/>
      <c r="M720" s="106"/>
    </row>
    <row r="721">
      <c r="A721" s="105"/>
      <c r="H721" s="106"/>
      <c r="M721" s="106"/>
    </row>
    <row r="722">
      <c r="A722" s="105"/>
      <c r="H722" s="106"/>
      <c r="M722" s="106"/>
    </row>
    <row r="723">
      <c r="A723" s="105"/>
      <c r="H723" s="106"/>
      <c r="M723" s="106"/>
    </row>
    <row r="724">
      <c r="A724" s="105"/>
      <c r="H724" s="106"/>
      <c r="M724" s="106"/>
    </row>
    <row r="725">
      <c r="A725" s="105"/>
      <c r="H725" s="106"/>
      <c r="M725" s="106"/>
    </row>
    <row r="726">
      <c r="A726" s="105"/>
      <c r="H726" s="106"/>
      <c r="M726" s="106"/>
    </row>
    <row r="727">
      <c r="A727" s="105"/>
      <c r="H727" s="106"/>
      <c r="M727" s="106"/>
    </row>
    <row r="728">
      <c r="A728" s="105"/>
      <c r="H728" s="106"/>
      <c r="M728" s="106"/>
    </row>
    <row r="729">
      <c r="A729" s="105"/>
      <c r="H729" s="106"/>
      <c r="M729" s="106"/>
    </row>
    <row r="730">
      <c r="A730" s="105"/>
      <c r="H730" s="106"/>
      <c r="M730" s="106"/>
    </row>
    <row r="731">
      <c r="A731" s="105"/>
      <c r="H731" s="106"/>
      <c r="M731" s="106"/>
    </row>
    <row r="732">
      <c r="A732" s="105"/>
      <c r="H732" s="106"/>
      <c r="M732" s="106"/>
    </row>
    <row r="733">
      <c r="A733" s="105"/>
      <c r="H733" s="106"/>
      <c r="M733" s="106"/>
    </row>
    <row r="734">
      <c r="A734" s="105"/>
      <c r="H734" s="106"/>
      <c r="M734" s="106"/>
    </row>
    <row r="735">
      <c r="A735" s="105"/>
      <c r="H735" s="106"/>
      <c r="M735" s="106"/>
    </row>
    <row r="736">
      <c r="A736" s="105"/>
      <c r="H736" s="106"/>
      <c r="M736" s="106"/>
    </row>
    <row r="737">
      <c r="A737" s="105"/>
      <c r="H737" s="106"/>
      <c r="M737" s="106"/>
    </row>
    <row r="738">
      <c r="A738" s="105"/>
      <c r="H738" s="106"/>
      <c r="M738" s="106"/>
    </row>
    <row r="739">
      <c r="A739" s="105"/>
      <c r="H739" s="106"/>
      <c r="M739" s="106"/>
    </row>
    <row r="740">
      <c r="A740" s="105"/>
      <c r="H740" s="106"/>
      <c r="M740" s="106"/>
    </row>
    <row r="741">
      <c r="A741" s="105"/>
      <c r="H741" s="106"/>
      <c r="M741" s="106"/>
    </row>
    <row r="742">
      <c r="A742" s="105"/>
      <c r="H742" s="106"/>
      <c r="M742" s="106"/>
    </row>
    <row r="743">
      <c r="A743" s="105"/>
      <c r="H743" s="106"/>
      <c r="M743" s="106"/>
    </row>
    <row r="744">
      <c r="A744" s="105"/>
      <c r="H744" s="106"/>
      <c r="M744" s="106"/>
    </row>
    <row r="745">
      <c r="A745" s="105"/>
      <c r="H745" s="106"/>
      <c r="M745" s="106"/>
    </row>
    <row r="746">
      <c r="A746" s="105"/>
      <c r="H746" s="106"/>
      <c r="M746" s="106"/>
    </row>
    <row r="747">
      <c r="A747" s="105"/>
      <c r="H747" s="106"/>
      <c r="M747" s="106"/>
    </row>
    <row r="748">
      <c r="A748" s="105"/>
      <c r="H748" s="106"/>
      <c r="M748" s="106"/>
    </row>
    <row r="749">
      <c r="A749" s="105"/>
      <c r="H749" s="106"/>
      <c r="M749" s="106"/>
    </row>
    <row r="750">
      <c r="A750" s="105"/>
      <c r="H750" s="106"/>
      <c r="M750" s="106"/>
    </row>
    <row r="751">
      <c r="A751" s="105"/>
      <c r="H751" s="106"/>
      <c r="M751" s="106"/>
    </row>
    <row r="752">
      <c r="A752" s="105"/>
      <c r="H752" s="106"/>
      <c r="M752" s="106"/>
    </row>
    <row r="753">
      <c r="A753" s="105"/>
      <c r="H753" s="106"/>
      <c r="M753" s="106"/>
    </row>
    <row r="754">
      <c r="A754" s="105"/>
      <c r="H754" s="106"/>
      <c r="M754" s="106"/>
    </row>
    <row r="755">
      <c r="A755" s="105"/>
      <c r="H755" s="106"/>
      <c r="M755" s="106"/>
    </row>
    <row r="756">
      <c r="A756" s="105"/>
      <c r="H756" s="106"/>
      <c r="M756" s="106"/>
    </row>
    <row r="757">
      <c r="A757" s="105"/>
      <c r="H757" s="106"/>
      <c r="M757" s="106"/>
    </row>
    <row r="758">
      <c r="A758" s="105"/>
      <c r="H758" s="106"/>
      <c r="M758" s="106"/>
    </row>
    <row r="759">
      <c r="A759" s="105"/>
      <c r="H759" s="106"/>
      <c r="M759" s="106"/>
    </row>
    <row r="760">
      <c r="A760" s="105"/>
      <c r="H760" s="106"/>
      <c r="M760" s="106"/>
    </row>
    <row r="761">
      <c r="A761" s="105"/>
      <c r="H761" s="106"/>
      <c r="M761" s="106"/>
    </row>
    <row r="762">
      <c r="A762" s="105"/>
      <c r="H762" s="106"/>
      <c r="M762" s="106"/>
    </row>
    <row r="763">
      <c r="A763" s="105"/>
      <c r="H763" s="106"/>
      <c r="M763" s="106"/>
    </row>
    <row r="764">
      <c r="A764" s="105"/>
      <c r="H764" s="106"/>
      <c r="M764" s="106"/>
    </row>
    <row r="765">
      <c r="A765" s="105"/>
      <c r="H765" s="106"/>
      <c r="M765" s="106"/>
    </row>
    <row r="766">
      <c r="A766" s="105"/>
      <c r="H766" s="106"/>
      <c r="M766" s="106"/>
    </row>
    <row r="767">
      <c r="A767" s="105"/>
      <c r="H767" s="106"/>
      <c r="M767" s="106"/>
    </row>
    <row r="768">
      <c r="A768" s="105"/>
      <c r="H768" s="106"/>
      <c r="M768" s="106"/>
    </row>
    <row r="769">
      <c r="A769" s="105"/>
      <c r="H769" s="106"/>
      <c r="M769" s="106"/>
    </row>
    <row r="770">
      <c r="A770" s="105"/>
      <c r="H770" s="106"/>
      <c r="M770" s="106"/>
    </row>
    <row r="771">
      <c r="A771" s="105"/>
      <c r="H771" s="106"/>
      <c r="M771" s="106"/>
    </row>
    <row r="772">
      <c r="A772" s="105"/>
      <c r="H772" s="106"/>
      <c r="M772" s="106"/>
    </row>
    <row r="773">
      <c r="A773" s="105"/>
      <c r="H773" s="106"/>
      <c r="M773" s="106"/>
    </row>
    <row r="774">
      <c r="A774" s="105"/>
      <c r="H774" s="106"/>
      <c r="M774" s="106"/>
    </row>
    <row r="775">
      <c r="A775" s="105"/>
      <c r="H775" s="106"/>
      <c r="M775" s="106"/>
    </row>
    <row r="776">
      <c r="A776" s="105"/>
      <c r="H776" s="106"/>
      <c r="M776" s="106"/>
    </row>
    <row r="777">
      <c r="A777" s="105"/>
      <c r="H777" s="106"/>
      <c r="M777" s="106"/>
    </row>
    <row r="778">
      <c r="A778" s="105"/>
      <c r="H778" s="106"/>
      <c r="M778" s="106"/>
    </row>
    <row r="779">
      <c r="A779" s="105"/>
      <c r="H779" s="106"/>
      <c r="M779" s="106"/>
    </row>
    <row r="780">
      <c r="A780" s="105"/>
      <c r="H780" s="106"/>
      <c r="M780" s="106"/>
    </row>
    <row r="781">
      <c r="A781" s="105"/>
      <c r="H781" s="106"/>
      <c r="M781" s="106"/>
    </row>
    <row r="782">
      <c r="A782" s="105"/>
      <c r="H782" s="106"/>
      <c r="M782" s="106"/>
    </row>
    <row r="783">
      <c r="A783" s="105"/>
      <c r="H783" s="106"/>
      <c r="M783" s="106"/>
    </row>
    <row r="784">
      <c r="A784" s="105"/>
      <c r="H784" s="106"/>
      <c r="M784" s="106"/>
    </row>
    <row r="785">
      <c r="A785" s="105"/>
      <c r="H785" s="106"/>
      <c r="M785" s="106"/>
    </row>
    <row r="786">
      <c r="A786" s="105"/>
      <c r="H786" s="106"/>
      <c r="M786" s="106"/>
    </row>
    <row r="787">
      <c r="A787" s="105"/>
      <c r="H787" s="106"/>
      <c r="M787" s="106"/>
    </row>
    <row r="788">
      <c r="A788" s="105"/>
      <c r="H788" s="106"/>
      <c r="M788" s="106"/>
    </row>
    <row r="789">
      <c r="A789" s="105"/>
      <c r="H789" s="106"/>
      <c r="M789" s="106"/>
    </row>
    <row r="790">
      <c r="A790" s="105"/>
      <c r="H790" s="106"/>
      <c r="M790" s="106"/>
    </row>
    <row r="791">
      <c r="A791" s="105"/>
      <c r="H791" s="106"/>
      <c r="M791" s="106"/>
    </row>
    <row r="792">
      <c r="A792" s="105"/>
      <c r="H792" s="106"/>
      <c r="M792" s="106"/>
    </row>
    <row r="793">
      <c r="A793" s="105"/>
      <c r="H793" s="106"/>
      <c r="M793" s="106"/>
    </row>
    <row r="794">
      <c r="A794" s="105"/>
      <c r="H794" s="106"/>
      <c r="M794" s="106"/>
    </row>
    <row r="795">
      <c r="A795" s="105"/>
      <c r="H795" s="106"/>
      <c r="M795" s="106"/>
    </row>
    <row r="796">
      <c r="A796" s="105"/>
      <c r="H796" s="106"/>
      <c r="M796" s="106"/>
    </row>
    <row r="797">
      <c r="A797" s="105"/>
      <c r="H797" s="106"/>
      <c r="M797" s="106"/>
    </row>
    <row r="798">
      <c r="A798" s="105"/>
      <c r="H798" s="106"/>
      <c r="M798" s="106"/>
    </row>
    <row r="799">
      <c r="A799" s="105"/>
      <c r="H799" s="106"/>
      <c r="M799" s="106"/>
    </row>
    <row r="800">
      <c r="A800" s="105"/>
      <c r="H800" s="106"/>
      <c r="M800" s="106"/>
    </row>
    <row r="801">
      <c r="A801" s="105"/>
      <c r="H801" s="106"/>
      <c r="M801" s="106"/>
    </row>
    <row r="802">
      <c r="A802" s="105"/>
      <c r="H802" s="106"/>
      <c r="M802" s="106"/>
    </row>
    <row r="803">
      <c r="A803" s="105"/>
      <c r="H803" s="106"/>
      <c r="M803" s="106"/>
    </row>
    <row r="804">
      <c r="A804" s="105"/>
      <c r="H804" s="106"/>
      <c r="M804" s="106"/>
    </row>
    <row r="805">
      <c r="A805" s="105"/>
      <c r="H805" s="106"/>
      <c r="M805" s="106"/>
    </row>
    <row r="806">
      <c r="A806" s="105"/>
      <c r="H806" s="106"/>
      <c r="M806" s="106"/>
    </row>
    <row r="807">
      <c r="A807" s="105"/>
      <c r="H807" s="106"/>
      <c r="M807" s="106"/>
    </row>
    <row r="808">
      <c r="A808" s="105"/>
      <c r="H808" s="106"/>
      <c r="M808" s="106"/>
    </row>
    <row r="809">
      <c r="A809" s="105"/>
      <c r="H809" s="106"/>
      <c r="M809" s="106"/>
    </row>
    <row r="810">
      <c r="A810" s="105"/>
      <c r="H810" s="106"/>
      <c r="M810" s="106"/>
    </row>
    <row r="811">
      <c r="A811" s="105"/>
      <c r="H811" s="106"/>
      <c r="M811" s="106"/>
    </row>
    <row r="812">
      <c r="A812" s="105"/>
      <c r="H812" s="106"/>
      <c r="M812" s="106"/>
    </row>
    <row r="813">
      <c r="A813" s="105"/>
      <c r="H813" s="106"/>
      <c r="M813" s="106"/>
    </row>
    <row r="814">
      <c r="A814" s="105"/>
      <c r="H814" s="106"/>
      <c r="M814" s="106"/>
    </row>
    <row r="815">
      <c r="A815" s="105"/>
      <c r="H815" s="106"/>
      <c r="M815" s="106"/>
    </row>
    <row r="816">
      <c r="A816" s="105"/>
      <c r="H816" s="106"/>
      <c r="M816" s="106"/>
    </row>
    <row r="817">
      <c r="A817" s="105"/>
      <c r="H817" s="106"/>
      <c r="M817" s="106"/>
    </row>
    <row r="818">
      <c r="A818" s="105"/>
      <c r="H818" s="106"/>
      <c r="M818" s="106"/>
    </row>
    <row r="819">
      <c r="A819" s="105"/>
      <c r="H819" s="106"/>
      <c r="M819" s="106"/>
    </row>
    <row r="820">
      <c r="A820" s="105"/>
      <c r="H820" s="106"/>
      <c r="M820" s="106"/>
    </row>
    <row r="821">
      <c r="A821" s="105"/>
      <c r="H821" s="106"/>
      <c r="M821" s="106"/>
    </row>
    <row r="822">
      <c r="A822" s="105"/>
      <c r="H822" s="106"/>
      <c r="M822" s="106"/>
    </row>
    <row r="823">
      <c r="A823" s="105"/>
      <c r="H823" s="106"/>
      <c r="M823" s="106"/>
    </row>
    <row r="824">
      <c r="A824" s="105"/>
      <c r="H824" s="106"/>
      <c r="M824" s="106"/>
    </row>
    <row r="825">
      <c r="A825" s="105"/>
      <c r="H825" s="106"/>
      <c r="M825" s="106"/>
    </row>
    <row r="826">
      <c r="A826" s="105"/>
      <c r="H826" s="106"/>
      <c r="M826" s="106"/>
    </row>
    <row r="827">
      <c r="A827" s="105"/>
      <c r="H827" s="106"/>
      <c r="M827" s="106"/>
    </row>
    <row r="828">
      <c r="A828" s="105"/>
      <c r="H828" s="106"/>
      <c r="M828" s="106"/>
    </row>
    <row r="829">
      <c r="A829" s="105"/>
      <c r="H829" s="106"/>
      <c r="M829" s="106"/>
    </row>
    <row r="830">
      <c r="A830" s="105"/>
      <c r="H830" s="106"/>
      <c r="M830" s="106"/>
    </row>
    <row r="831">
      <c r="A831" s="105"/>
      <c r="H831" s="106"/>
      <c r="M831" s="106"/>
    </row>
    <row r="832">
      <c r="A832" s="105"/>
      <c r="H832" s="106"/>
      <c r="M832" s="106"/>
    </row>
    <row r="833">
      <c r="A833" s="105"/>
      <c r="H833" s="106"/>
      <c r="M833" s="106"/>
    </row>
    <row r="834">
      <c r="A834" s="105"/>
      <c r="H834" s="106"/>
      <c r="M834" s="106"/>
    </row>
    <row r="835">
      <c r="A835" s="105"/>
      <c r="H835" s="106"/>
      <c r="M835" s="106"/>
    </row>
    <row r="836">
      <c r="A836" s="105"/>
      <c r="H836" s="106"/>
      <c r="M836" s="106"/>
    </row>
    <row r="837">
      <c r="A837" s="105"/>
      <c r="H837" s="106"/>
      <c r="M837" s="106"/>
    </row>
    <row r="838">
      <c r="A838" s="105"/>
      <c r="H838" s="106"/>
      <c r="M838" s="106"/>
    </row>
    <row r="839">
      <c r="A839" s="105"/>
      <c r="H839" s="106"/>
      <c r="M839" s="106"/>
    </row>
    <row r="840">
      <c r="A840" s="105"/>
      <c r="H840" s="106"/>
      <c r="M840" s="106"/>
    </row>
    <row r="841">
      <c r="A841" s="105"/>
      <c r="H841" s="106"/>
      <c r="M841" s="106"/>
    </row>
    <row r="842">
      <c r="A842" s="105"/>
      <c r="H842" s="106"/>
      <c r="M842" s="106"/>
    </row>
    <row r="843">
      <c r="A843" s="105"/>
      <c r="H843" s="106"/>
      <c r="M843" s="106"/>
    </row>
    <row r="844">
      <c r="A844" s="105"/>
      <c r="H844" s="106"/>
      <c r="M844" s="106"/>
    </row>
    <row r="845">
      <c r="A845" s="105"/>
      <c r="H845" s="106"/>
      <c r="M845" s="106"/>
    </row>
    <row r="846">
      <c r="A846" s="105"/>
      <c r="H846" s="106"/>
      <c r="M846" s="106"/>
    </row>
    <row r="847">
      <c r="A847" s="105"/>
      <c r="H847" s="106"/>
      <c r="M847" s="106"/>
    </row>
    <row r="848">
      <c r="A848" s="105"/>
      <c r="H848" s="106"/>
      <c r="M848" s="106"/>
    </row>
    <row r="849">
      <c r="A849" s="105"/>
      <c r="H849" s="106"/>
      <c r="M849" s="106"/>
    </row>
    <row r="850">
      <c r="A850" s="105"/>
      <c r="H850" s="106"/>
      <c r="M850" s="106"/>
    </row>
    <row r="851">
      <c r="A851" s="105"/>
      <c r="H851" s="106"/>
      <c r="M851" s="106"/>
    </row>
    <row r="852">
      <c r="A852" s="105"/>
      <c r="H852" s="106"/>
      <c r="M852" s="106"/>
    </row>
    <row r="853">
      <c r="A853" s="105"/>
      <c r="H853" s="106"/>
      <c r="M853" s="106"/>
    </row>
    <row r="854">
      <c r="A854" s="105"/>
      <c r="H854" s="106"/>
      <c r="M854" s="106"/>
    </row>
    <row r="855">
      <c r="A855" s="105"/>
      <c r="H855" s="106"/>
      <c r="M855" s="106"/>
    </row>
    <row r="856">
      <c r="A856" s="105"/>
      <c r="H856" s="106"/>
      <c r="M856" s="106"/>
    </row>
    <row r="857">
      <c r="A857" s="105"/>
      <c r="H857" s="106"/>
      <c r="M857" s="106"/>
    </row>
    <row r="858">
      <c r="A858" s="105"/>
      <c r="H858" s="106"/>
      <c r="M858" s="106"/>
    </row>
    <row r="859">
      <c r="A859" s="105"/>
      <c r="H859" s="106"/>
      <c r="M859" s="106"/>
    </row>
    <row r="860">
      <c r="A860" s="105"/>
      <c r="H860" s="106"/>
      <c r="M860" s="106"/>
    </row>
    <row r="861">
      <c r="A861" s="105"/>
      <c r="H861" s="106"/>
      <c r="M861" s="106"/>
    </row>
    <row r="862">
      <c r="A862" s="105"/>
      <c r="H862" s="106"/>
      <c r="M862" s="106"/>
    </row>
    <row r="863">
      <c r="A863" s="105"/>
      <c r="H863" s="106"/>
      <c r="M863" s="106"/>
    </row>
    <row r="864">
      <c r="A864" s="105"/>
      <c r="H864" s="106"/>
      <c r="M864" s="106"/>
    </row>
    <row r="865">
      <c r="A865" s="105"/>
      <c r="H865" s="106"/>
      <c r="M865" s="106"/>
    </row>
    <row r="866">
      <c r="A866" s="105"/>
      <c r="H866" s="106"/>
      <c r="M866" s="106"/>
    </row>
    <row r="867">
      <c r="A867" s="105"/>
      <c r="H867" s="106"/>
      <c r="M867" s="106"/>
    </row>
    <row r="868">
      <c r="A868" s="105"/>
      <c r="H868" s="106"/>
      <c r="M868" s="106"/>
    </row>
    <row r="869">
      <c r="A869" s="105"/>
      <c r="H869" s="106"/>
      <c r="M869" s="106"/>
    </row>
    <row r="870">
      <c r="A870" s="105"/>
      <c r="H870" s="106"/>
      <c r="M870" s="106"/>
    </row>
    <row r="871">
      <c r="A871" s="105"/>
      <c r="H871" s="106"/>
      <c r="M871" s="106"/>
    </row>
    <row r="872">
      <c r="A872" s="105"/>
      <c r="H872" s="106"/>
      <c r="M872" s="106"/>
    </row>
    <row r="873">
      <c r="A873" s="105"/>
      <c r="H873" s="106"/>
      <c r="M873" s="106"/>
    </row>
    <row r="874">
      <c r="A874" s="105"/>
      <c r="H874" s="106"/>
      <c r="M874" s="106"/>
    </row>
    <row r="875">
      <c r="A875" s="105"/>
      <c r="H875" s="106"/>
      <c r="M875" s="106"/>
    </row>
    <row r="876">
      <c r="A876" s="105"/>
      <c r="H876" s="106"/>
      <c r="M876" s="106"/>
    </row>
    <row r="877">
      <c r="A877" s="105"/>
      <c r="H877" s="106"/>
      <c r="M877" s="106"/>
    </row>
    <row r="878">
      <c r="A878" s="105"/>
      <c r="H878" s="106"/>
      <c r="M878" s="106"/>
    </row>
    <row r="879">
      <c r="A879" s="105"/>
      <c r="H879" s="106"/>
      <c r="M879" s="106"/>
    </row>
    <row r="880">
      <c r="A880" s="105"/>
      <c r="H880" s="106"/>
      <c r="M880" s="106"/>
    </row>
    <row r="881">
      <c r="A881" s="105"/>
      <c r="H881" s="106"/>
      <c r="M881" s="106"/>
    </row>
    <row r="882">
      <c r="A882" s="105"/>
      <c r="H882" s="106"/>
      <c r="M882" s="106"/>
    </row>
    <row r="883">
      <c r="A883" s="105"/>
      <c r="H883" s="106"/>
      <c r="M883" s="106"/>
    </row>
    <row r="884">
      <c r="A884" s="105"/>
      <c r="H884" s="106"/>
      <c r="M884" s="106"/>
    </row>
    <row r="885">
      <c r="A885" s="105"/>
      <c r="H885" s="106"/>
      <c r="M885" s="106"/>
    </row>
    <row r="886">
      <c r="A886" s="105"/>
      <c r="H886" s="106"/>
      <c r="M886" s="106"/>
    </row>
    <row r="887">
      <c r="A887" s="105"/>
      <c r="H887" s="106"/>
      <c r="M887" s="106"/>
    </row>
    <row r="888">
      <c r="A888" s="105"/>
      <c r="H888" s="106"/>
      <c r="M888" s="106"/>
    </row>
    <row r="889">
      <c r="A889" s="105"/>
      <c r="H889" s="106"/>
      <c r="M889" s="106"/>
    </row>
    <row r="890">
      <c r="A890" s="105"/>
      <c r="H890" s="106"/>
      <c r="M890" s="106"/>
    </row>
    <row r="891">
      <c r="A891" s="105"/>
      <c r="H891" s="106"/>
      <c r="M891" s="106"/>
    </row>
    <row r="892">
      <c r="A892" s="105"/>
      <c r="H892" s="106"/>
      <c r="M892" s="106"/>
    </row>
    <row r="893">
      <c r="A893" s="105"/>
      <c r="H893" s="106"/>
      <c r="M893" s="106"/>
    </row>
    <row r="894">
      <c r="A894" s="105"/>
      <c r="H894" s="106"/>
      <c r="M894" s="106"/>
    </row>
    <row r="895">
      <c r="A895" s="105"/>
      <c r="H895" s="106"/>
      <c r="M895" s="106"/>
    </row>
    <row r="896">
      <c r="A896" s="105"/>
      <c r="H896" s="106"/>
      <c r="M896" s="106"/>
    </row>
    <row r="897">
      <c r="A897" s="105"/>
      <c r="H897" s="106"/>
      <c r="M897" s="106"/>
    </row>
    <row r="898">
      <c r="A898" s="105"/>
      <c r="H898" s="106"/>
      <c r="M898" s="106"/>
    </row>
    <row r="899">
      <c r="A899" s="105"/>
      <c r="H899" s="106"/>
      <c r="M899" s="106"/>
    </row>
    <row r="900">
      <c r="A900" s="105"/>
      <c r="H900" s="106"/>
      <c r="M900" s="106"/>
    </row>
    <row r="901">
      <c r="A901" s="105"/>
      <c r="H901" s="106"/>
      <c r="M901" s="106"/>
    </row>
    <row r="902">
      <c r="A902" s="105"/>
      <c r="H902" s="106"/>
      <c r="M902" s="106"/>
    </row>
    <row r="903">
      <c r="A903" s="105"/>
      <c r="H903" s="106"/>
      <c r="M903" s="106"/>
    </row>
    <row r="904">
      <c r="A904" s="105"/>
      <c r="H904" s="106"/>
      <c r="M904" s="106"/>
    </row>
    <row r="905">
      <c r="A905" s="105"/>
      <c r="H905" s="106"/>
      <c r="M905" s="106"/>
    </row>
    <row r="906">
      <c r="A906" s="105"/>
      <c r="H906" s="106"/>
      <c r="M906" s="106"/>
    </row>
    <row r="907">
      <c r="A907" s="105"/>
      <c r="H907" s="106"/>
      <c r="M907" s="106"/>
    </row>
    <row r="908">
      <c r="A908" s="105"/>
      <c r="H908" s="106"/>
      <c r="M908" s="106"/>
    </row>
    <row r="909">
      <c r="A909" s="105"/>
      <c r="H909" s="106"/>
      <c r="M909" s="106"/>
    </row>
    <row r="910">
      <c r="A910" s="105"/>
      <c r="H910" s="106"/>
      <c r="M910" s="106"/>
    </row>
    <row r="911">
      <c r="A911" s="105"/>
      <c r="H911" s="106"/>
      <c r="M911" s="106"/>
    </row>
    <row r="912">
      <c r="A912" s="105"/>
      <c r="H912" s="106"/>
      <c r="M912" s="106"/>
    </row>
    <row r="913">
      <c r="A913" s="105"/>
      <c r="H913" s="106"/>
      <c r="M913" s="106"/>
    </row>
    <row r="914">
      <c r="A914" s="105"/>
      <c r="H914" s="106"/>
      <c r="M914" s="106"/>
    </row>
    <row r="915">
      <c r="A915" s="105"/>
      <c r="H915" s="106"/>
      <c r="M915" s="106"/>
    </row>
    <row r="916">
      <c r="A916" s="105"/>
      <c r="H916" s="106"/>
      <c r="M916" s="106"/>
    </row>
    <row r="917">
      <c r="A917" s="105"/>
      <c r="H917" s="106"/>
      <c r="M917" s="106"/>
    </row>
    <row r="918">
      <c r="A918" s="105"/>
      <c r="H918" s="106"/>
      <c r="M918" s="106"/>
    </row>
    <row r="919">
      <c r="A919" s="105"/>
      <c r="H919" s="106"/>
      <c r="M919" s="106"/>
    </row>
    <row r="920">
      <c r="A920" s="105"/>
      <c r="H920" s="106"/>
      <c r="M920" s="106"/>
    </row>
    <row r="921">
      <c r="A921" s="105"/>
      <c r="H921" s="106"/>
      <c r="M921" s="106"/>
    </row>
    <row r="922">
      <c r="A922" s="105"/>
      <c r="H922" s="106"/>
      <c r="M922" s="106"/>
    </row>
    <row r="923">
      <c r="A923" s="105"/>
      <c r="H923" s="106"/>
      <c r="M923" s="106"/>
    </row>
    <row r="924">
      <c r="A924" s="105"/>
      <c r="H924" s="106"/>
      <c r="M924" s="106"/>
    </row>
    <row r="925">
      <c r="A925" s="105"/>
      <c r="H925" s="106"/>
      <c r="M925" s="106"/>
    </row>
    <row r="926">
      <c r="A926" s="105"/>
      <c r="H926" s="106"/>
      <c r="M926" s="106"/>
    </row>
    <row r="927">
      <c r="A927" s="105"/>
      <c r="H927" s="106"/>
      <c r="M927" s="106"/>
    </row>
    <row r="928">
      <c r="A928" s="105"/>
      <c r="H928" s="106"/>
      <c r="M928" s="106"/>
    </row>
    <row r="929">
      <c r="A929" s="105"/>
      <c r="H929" s="106"/>
      <c r="M929" s="106"/>
    </row>
    <row r="930">
      <c r="A930" s="105"/>
      <c r="H930" s="106"/>
      <c r="M930" s="106"/>
    </row>
    <row r="931">
      <c r="A931" s="105"/>
      <c r="H931" s="106"/>
      <c r="M931" s="106"/>
    </row>
    <row r="932">
      <c r="A932" s="105"/>
      <c r="H932" s="106"/>
      <c r="M932" s="106"/>
    </row>
    <row r="933">
      <c r="A933" s="105"/>
      <c r="H933" s="106"/>
      <c r="M933" s="106"/>
    </row>
    <row r="934">
      <c r="A934" s="105"/>
      <c r="H934" s="106"/>
      <c r="M934" s="106"/>
    </row>
    <row r="935">
      <c r="A935" s="105"/>
      <c r="H935" s="106"/>
      <c r="M935" s="106"/>
    </row>
    <row r="936">
      <c r="A936" s="105"/>
      <c r="H936" s="106"/>
      <c r="M936" s="106"/>
    </row>
    <row r="937">
      <c r="A937" s="105"/>
      <c r="H937" s="106"/>
      <c r="M937" s="106"/>
    </row>
    <row r="938">
      <c r="A938" s="105"/>
      <c r="H938" s="106"/>
      <c r="M938" s="106"/>
    </row>
    <row r="939">
      <c r="A939" s="105"/>
      <c r="H939" s="106"/>
      <c r="M939" s="106"/>
    </row>
    <row r="940">
      <c r="A940" s="105"/>
      <c r="H940" s="106"/>
      <c r="M940" s="106"/>
    </row>
    <row r="941">
      <c r="A941" s="105"/>
      <c r="H941" s="106"/>
      <c r="M941" s="106"/>
    </row>
    <row r="942">
      <c r="A942" s="105"/>
      <c r="H942" s="106"/>
      <c r="M942" s="106"/>
    </row>
    <row r="943">
      <c r="A943" s="105"/>
      <c r="H943" s="106"/>
      <c r="M943" s="106"/>
    </row>
    <row r="944">
      <c r="A944" s="105"/>
      <c r="H944" s="106"/>
      <c r="M944" s="106"/>
    </row>
    <row r="945">
      <c r="A945" s="105"/>
      <c r="H945" s="106"/>
      <c r="M945" s="106"/>
    </row>
    <row r="946">
      <c r="A946" s="105"/>
      <c r="H946" s="106"/>
      <c r="M946" s="106"/>
    </row>
    <row r="947">
      <c r="A947" s="105"/>
      <c r="H947" s="106"/>
      <c r="M947" s="106"/>
    </row>
    <row r="948">
      <c r="A948" s="105"/>
      <c r="H948" s="106"/>
      <c r="M948" s="106"/>
    </row>
    <row r="949">
      <c r="A949" s="105"/>
      <c r="H949" s="106"/>
      <c r="M949" s="106"/>
    </row>
    <row r="950">
      <c r="A950" s="105"/>
      <c r="H950" s="106"/>
      <c r="M950" s="106"/>
    </row>
    <row r="951">
      <c r="A951" s="105"/>
      <c r="H951" s="106"/>
      <c r="M951" s="106"/>
    </row>
    <row r="952">
      <c r="A952" s="105"/>
      <c r="H952" s="106"/>
      <c r="M952" s="106"/>
    </row>
    <row r="953">
      <c r="A953" s="105"/>
      <c r="H953" s="106"/>
      <c r="M953" s="106"/>
    </row>
    <row r="954">
      <c r="A954" s="105"/>
      <c r="H954" s="106"/>
      <c r="M954" s="106"/>
    </row>
    <row r="955">
      <c r="A955" s="105"/>
      <c r="H955" s="106"/>
      <c r="M955" s="106"/>
    </row>
    <row r="956">
      <c r="A956" s="105"/>
      <c r="H956" s="106"/>
      <c r="M956" s="106"/>
    </row>
    <row r="957">
      <c r="A957" s="105"/>
      <c r="H957" s="106"/>
      <c r="M957" s="106"/>
    </row>
    <row r="958">
      <c r="A958" s="105"/>
      <c r="H958" s="106"/>
      <c r="M958" s="106"/>
    </row>
    <row r="959">
      <c r="A959" s="105"/>
      <c r="H959" s="106"/>
      <c r="M959" s="106"/>
    </row>
    <row r="960">
      <c r="A960" s="105"/>
      <c r="H960" s="106"/>
      <c r="M960" s="106"/>
    </row>
    <row r="961">
      <c r="A961" s="105"/>
      <c r="H961" s="106"/>
      <c r="M961" s="106"/>
    </row>
    <row r="962">
      <c r="A962" s="105"/>
      <c r="H962" s="106"/>
      <c r="M962" s="106"/>
    </row>
    <row r="963">
      <c r="A963" s="105"/>
      <c r="H963" s="106"/>
      <c r="M963" s="106"/>
    </row>
    <row r="964">
      <c r="A964" s="105"/>
      <c r="H964" s="106"/>
      <c r="M964" s="106"/>
    </row>
    <row r="965">
      <c r="A965" s="105"/>
      <c r="H965" s="106"/>
      <c r="M965" s="106"/>
    </row>
    <row r="966">
      <c r="A966" s="105"/>
      <c r="H966" s="106"/>
      <c r="M966" s="106"/>
    </row>
    <row r="967">
      <c r="A967" s="105"/>
      <c r="H967" s="106"/>
      <c r="M967" s="106"/>
    </row>
    <row r="968">
      <c r="A968" s="105"/>
      <c r="H968" s="106"/>
      <c r="M968" s="106"/>
    </row>
    <row r="969">
      <c r="A969" s="105"/>
      <c r="H969" s="106"/>
      <c r="M969" s="106"/>
    </row>
    <row r="970">
      <c r="A970" s="105"/>
      <c r="H970" s="106"/>
      <c r="M970" s="106"/>
    </row>
    <row r="971">
      <c r="A971" s="105"/>
      <c r="H971" s="106"/>
      <c r="M971" s="106"/>
    </row>
    <row r="972">
      <c r="A972" s="105"/>
      <c r="H972" s="106"/>
      <c r="M972" s="106"/>
    </row>
    <row r="973">
      <c r="A973" s="105"/>
      <c r="H973" s="106"/>
      <c r="M973" s="106"/>
    </row>
    <row r="974">
      <c r="A974" s="105"/>
      <c r="H974" s="106"/>
      <c r="M974" s="106"/>
    </row>
    <row r="975">
      <c r="A975" s="105"/>
      <c r="H975" s="106"/>
      <c r="M975" s="106"/>
    </row>
    <row r="976">
      <c r="A976" s="105"/>
      <c r="H976" s="106"/>
      <c r="M976" s="106"/>
    </row>
    <row r="977">
      <c r="A977" s="105"/>
      <c r="H977" s="106"/>
      <c r="M977" s="106"/>
    </row>
    <row r="978">
      <c r="A978" s="105"/>
      <c r="H978" s="106"/>
      <c r="M978" s="106"/>
    </row>
    <row r="979">
      <c r="A979" s="105"/>
      <c r="H979" s="106"/>
      <c r="M979" s="106"/>
    </row>
    <row r="980">
      <c r="A980" s="105"/>
      <c r="H980" s="106"/>
      <c r="M980" s="106"/>
    </row>
    <row r="981">
      <c r="A981" s="105"/>
      <c r="H981" s="106"/>
      <c r="M981" s="106"/>
    </row>
    <row r="982">
      <c r="A982" s="105"/>
      <c r="H982" s="106"/>
      <c r="M982" s="106"/>
    </row>
    <row r="983">
      <c r="A983" s="105"/>
      <c r="H983" s="106"/>
      <c r="M983" s="106"/>
    </row>
    <row r="984">
      <c r="A984" s="105"/>
      <c r="H984" s="106"/>
      <c r="M984" s="106"/>
    </row>
    <row r="985">
      <c r="A985" s="105"/>
      <c r="H985" s="106"/>
      <c r="M985" s="106"/>
    </row>
    <row r="986">
      <c r="A986" s="105"/>
      <c r="H986" s="106"/>
      <c r="M986" s="106"/>
    </row>
    <row r="987">
      <c r="A987" s="105"/>
      <c r="H987" s="106"/>
      <c r="M987" s="106"/>
    </row>
    <row r="988">
      <c r="A988" s="105"/>
      <c r="H988" s="106"/>
      <c r="M988" s="106"/>
    </row>
    <row r="989">
      <c r="A989" s="105"/>
      <c r="H989" s="106"/>
      <c r="M989" s="106"/>
    </row>
    <row r="990">
      <c r="A990" s="105"/>
      <c r="H990" s="106"/>
      <c r="M990" s="106"/>
    </row>
    <row r="991">
      <c r="A991" s="105"/>
      <c r="H991" s="106"/>
      <c r="M991" s="106"/>
    </row>
    <row r="992">
      <c r="A992" s="105"/>
      <c r="H992" s="106"/>
      <c r="M992" s="106"/>
    </row>
    <row r="993">
      <c r="A993" s="105"/>
      <c r="H993" s="106"/>
      <c r="M993" s="106"/>
    </row>
    <row r="994">
      <c r="A994" s="105"/>
      <c r="H994" s="106"/>
      <c r="M994" s="106"/>
    </row>
    <row r="995">
      <c r="A995" s="105"/>
      <c r="H995" s="106"/>
      <c r="M995" s="106"/>
    </row>
    <row r="996">
      <c r="A996" s="105"/>
      <c r="H996" s="106"/>
      <c r="M996" s="106"/>
    </row>
    <row r="997">
      <c r="A997" s="105"/>
      <c r="H997" s="106"/>
      <c r="M997" s="106"/>
    </row>
    <row r="998">
      <c r="A998" s="105"/>
      <c r="H998" s="106"/>
      <c r="M998" s="106"/>
    </row>
    <row r="999">
      <c r="A999" s="105"/>
      <c r="H999" s="106"/>
      <c r="M999" s="106"/>
    </row>
    <row r="1000">
      <c r="A1000" s="105"/>
      <c r="H1000" s="106"/>
      <c r="M1000" s="106"/>
    </row>
    <row r="1001">
      <c r="A1001" s="105"/>
      <c r="H1001" s="106"/>
      <c r="M1001" s="106"/>
    </row>
    <row r="1002">
      <c r="A1002" s="105"/>
      <c r="H1002" s="106"/>
    </row>
    <row r="1003">
      <c r="A1003" s="105"/>
      <c r="H1003" s="106"/>
    </row>
  </sheetData>
  <mergeCells count="2">
    <mergeCell ref="E2:I2"/>
    <mergeCell ref="J2:N2"/>
  </mergeCells>
  <hyperlinks>
    <hyperlink r:id="rId1" ref="B1"/>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s>
  <drawing r:id="rId8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25"/>
    <col customWidth="1" min="5" max="5" width="19.88"/>
  </cols>
  <sheetData>
    <row r="1">
      <c r="A1" s="10" t="s">
        <v>248</v>
      </c>
      <c r="B1" s="10"/>
      <c r="C1" s="10"/>
      <c r="D1" s="10"/>
      <c r="E1" s="10"/>
    </row>
    <row r="2">
      <c r="A2" s="10" t="s">
        <v>249</v>
      </c>
      <c r="B2" s="10" t="s">
        <v>250</v>
      </c>
      <c r="C2" s="10" t="s">
        <v>251</v>
      </c>
      <c r="D2" s="10" t="s">
        <v>252</v>
      </c>
      <c r="E2" s="10" t="s">
        <v>253</v>
      </c>
    </row>
    <row r="3">
      <c r="A3" s="115">
        <f>AVERAGE(Updated!H36:H554)</f>
        <v>246.3095238</v>
      </c>
      <c r="B3" s="115">
        <f>AVERAGE(Updated!I36:I554)</f>
        <v>292.3809524</v>
      </c>
      <c r="C3" s="115">
        <f>AVERAGE(Updated!J36:J554)</f>
        <v>331.0952381</v>
      </c>
      <c r="D3" s="106">
        <f>AVERAGE(Updated!K36:K554)</f>
        <v>0.0004491843034</v>
      </c>
      <c r="E3" s="116">
        <f>AVERAGE(Updated!L36:L554)</f>
        <v>0.3314878378</v>
      </c>
    </row>
    <row r="4">
      <c r="A4" s="8"/>
      <c r="B4" s="8"/>
      <c r="C4" s="8"/>
      <c r="D4" s="8"/>
      <c r="E4" s="8"/>
    </row>
    <row r="5">
      <c r="A5" s="12" t="s">
        <v>254</v>
      </c>
      <c r="B5" s="12"/>
      <c r="C5" s="12"/>
      <c r="D5" s="12"/>
      <c r="E5" s="12"/>
    </row>
    <row r="6">
      <c r="A6" s="12" t="s">
        <v>249</v>
      </c>
      <c r="B6" s="12" t="s">
        <v>250</v>
      </c>
      <c r="C6" s="12" t="s">
        <v>251</v>
      </c>
      <c r="D6" s="12" t="s">
        <v>252</v>
      </c>
      <c r="E6" s="12" t="s">
        <v>253</v>
      </c>
    </row>
    <row r="7">
      <c r="A7" s="117">
        <f>AVERAGE(Updated!M36:M554)</f>
        <v>319.028169</v>
      </c>
      <c r="B7" s="117">
        <f>AVERAGE(Updated!N36:N554)</f>
        <v>385.915493</v>
      </c>
      <c r="C7" s="117">
        <f>AVERAGE(Updated!O36:O554)</f>
        <v>433.1971831</v>
      </c>
      <c r="D7" s="106">
        <f>AVERAGE(Updated!P36:P554)</f>
        <v>0.0004538341158</v>
      </c>
      <c r="E7" s="118">
        <f>AVERAGE(Updated!Q36:Q554)</f>
        <v>0.3400590164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9.5"/>
    <col customWidth="1" min="3" max="3" width="42.63"/>
    <col customWidth="1" min="4" max="4" width="8.63"/>
    <col customWidth="1" min="5" max="5" width="9.38"/>
    <col customWidth="1" min="6" max="6" width="6.88"/>
    <col customWidth="1" min="7" max="7" width="8.5"/>
    <col customWidth="1" min="8" max="8" width="9.5"/>
    <col customWidth="1" min="9" max="9" width="12.38"/>
    <col customWidth="1" min="10" max="10" width="11.0"/>
    <col customWidth="1" min="11" max="11" width="6.75"/>
    <col customWidth="1" min="12" max="12" width="8.13"/>
    <col customWidth="1" min="13" max="13" width="9.38"/>
    <col customWidth="1" min="14" max="14" width="12.88"/>
    <col customWidth="1" min="15" max="15" width="10.88"/>
  </cols>
  <sheetData>
    <row r="1">
      <c r="A1" s="18"/>
      <c r="B1" s="18"/>
      <c r="C1" s="110"/>
      <c r="D1" s="4"/>
      <c r="E1" s="3"/>
      <c r="F1" s="119" t="s">
        <v>2</v>
      </c>
      <c r="J1" s="120"/>
      <c r="K1" s="119" t="s">
        <v>3</v>
      </c>
      <c r="O1" s="121"/>
    </row>
    <row r="2">
      <c r="A2" s="9" t="s">
        <v>255</v>
      </c>
      <c r="B2" s="122" t="s">
        <v>256</v>
      </c>
      <c r="C2" s="9" t="s">
        <v>6</v>
      </c>
      <c r="D2" s="9" t="s">
        <v>233</v>
      </c>
      <c r="E2" s="3" t="s">
        <v>8</v>
      </c>
      <c r="F2" s="123" t="s">
        <v>11</v>
      </c>
      <c r="G2" s="8" t="s">
        <v>12</v>
      </c>
      <c r="H2" s="8" t="s">
        <v>13</v>
      </c>
      <c r="I2" s="124" t="s">
        <v>14</v>
      </c>
      <c r="J2" s="8" t="s">
        <v>15</v>
      </c>
      <c r="K2" s="123" t="s">
        <v>11</v>
      </c>
      <c r="L2" s="8" t="s">
        <v>12</v>
      </c>
      <c r="M2" s="8" t="s">
        <v>13</v>
      </c>
      <c r="N2" s="124" t="s">
        <v>16</v>
      </c>
      <c r="O2" s="125" t="s">
        <v>17</v>
      </c>
    </row>
    <row r="3">
      <c r="A3" s="126">
        <v>45440.0</v>
      </c>
      <c r="B3" s="34" t="s">
        <v>257</v>
      </c>
      <c r="C3" s="127" t="s">
        <v>19</v>
      </c>
      <c r="D3" s="34" t="s">
        <v>258</v>
      </c>
      <c r="E3" s="34" t="s">
        <v>21</v>
      </c>
      <c r="F3" s="128">
        <v>5584.0</v>
      </c>
      <c r="G3" s="19">
        <v>6604.0</v>
      </c>
      <c r="H3" s="19">
        <v>6824.0</v>
      </c>
      <c r="I3" s="20">
        <v>2.777777777777778E-4</v>
      </c>
      <c r="J3" s="21">
        <v>0.7139</v>
      </c>
      <c r="K3" s="128">
        <v>5755.0</v>
      </c>
      <c r="L3" s="19">
        <v>6312.0</v>
      </c>
      <c r="M3" s="19">
        <v>7100.0</v>
      </c>
      <c r="N3" s="20">
        <v>2.8935185185185184E-4</v>
      </c>
      <c r="O3" s="129">
        <v>0.7015</v>
      </c>
    </row>
    <row r="4">
      <c r="B4" s="130" t="s">
        <v>259</v>
      </c>
      <c r="C4" s="131" t="s">
        <v>23</v>
      </c>
      <c r="D4" s="130" t="s">
        <v>258</v>
      </c>
      <c r="E4" s="130" t="s">
        <v>24</v>
      </c>
      <c r="F4" s="132">
        <v>5748.0</v>
      </c>
      <c r="G4" s="133">
        <v>6479.0</v>
      </c>
      <c r="H4" s="133">
        <v>6992.0</v>
      </c>
      <c r="I4" s="134">
        <v>5.208333333333333E-4</v>
      </c>
      <c r="J4" s="135">
        <v>0.6751</v>
      </c>
      <c r="K4" s="132">
        <v>6500.0</v>
      </c>
      <c r="L4" s="133">
        <v>7316.0</v>
      </c>
      <c r="M4" s="133">
        <v>7865.0</v>
      </c>
      <c r="N4" s="134">
        <v>5.555555555555556E-4</v>
      </c>
      <c r="O4" s="136">
        <v>0.6499</v>
      </c>
    </row>
    <row r="5">
      <c r="A5" s="126">
        <v>45593.0</v>
      </c>
      <c r="B5" s="137" t="s">
        <v>257</v>
      </c>
      <c r="C5" s="138" t="s">
        <v>166</v>
      </c>
      <c r="D5" s="137" t="s">
        <v>258</v>
      </c>
      <c r="E5" s="137" t="s">
        <v>21</v>
      </c>
      <c r="F5" s="139">
        <v>236.0</v>
      </c>
      <c r="G5" s="137">
        <v>270.0</v>
      </c>
      <c r="H5" s="137">
        <v>302.0</v>
      </c>
      <c r="I5" s="140">
        <v>2.8935185185185184E-4</v>
      </c>
      <c r="J5" s="141">
        <v>0.3556</v>
      </c>
      <c r="K5" s="139">
        <v>255.0</v>
      </c>
      <c r="L5" s="137">
        <v>300.0</v>
      </c>
      <c r="M5" s="137">
        <v>334.0</v>
      </c>
      <c r="N5" s="140">
        <v>2.8935185185185184E-4</v>
      </c>
      <c r="O5" s="142">
        <v>0.3367</v>
      </c>
    </row>
    <row r="6">
      <c r="B6" s="130" t="s">
        <v>259</v>
      </c>
      <c r="C6" s="143" t="s">
        <v>117</v>
      </c>
      <c r="D6" s="130" t="s">
        <v>258</v>
      </c>
      <c r="E6" s="130" t="s">
        <v>24</v>
      </c>
      <c r="F6" s="144"/>
      <c r="G6" s="145"/>
      <c r="H6" s="145"/>
      <c r="I6" s="145"/>
      <c r="J6" s="145"/>
      <c r="K6" s="144"/>
      <c r="L6" s="145"/>
      <c r="M6" s="145"/>
      <c r="N6" s="145"/>
      <c r="O6" s="146"/>
    </row>
    <row r="7">
      <c r="A7" s="126">
        <v>45518.0</v>
      </c>
      <c r="B7" s="137" t="s">
        <v>257</v>
      </c>
      <c r="C7" s="147" t="s">
        <v>130</v>
      </c>
      <c r="D7" s="137" t="s">
        <v>258</v>
      </c>
      <c r="E7" s="137" t="s">
        <v>21</v>
      </c>
      <c r="F7" s="139">
        <v>359.0</v>
      </c>
      <c r="G7" s="137">
        <v>390.0</v>
      </c>
      <c r="H7" s="137">
        <v>423.0</v>
      </c>
      <c r="I7" s="140">
        <v>2.0833333333333335E-4</v>
      </c>
      <c r="J7" s="141">
        <v>0.3513</v>
      </c>
      <c r="K7" s="139">
        <v>393.0</v>
      </c>
      <c r="L7" s="137">
        <v>431.0</v>
      </c>
      <c r="M7" s="137">
        <v>468.0</v>
      </c>
      <c r="N7" s="140">
        <v>2.0833333333333335E-4</v>
      </c>
      <c r="O7" s="142">
        <v>0.3295</v>
      </c>
    </row>
    <row r="8">
      <c r="B8" s="130" t="s">
        <v>259</v>
      </c>
      <c r="C8" s="143" t="s">
        <v>100</v>
      </c>
      <c r="D8" s="130" t="s">
        <v>258</v>
      </c>
      <c r="E8" s="130" t="s">
        <v>24</v>
      </c>
      <c r="F8" s="148">
        <v>382.0</v>
      </c>
      <c r="G8" s="130">
        <v>448.0</v>
      </c>
      <c r="H8" s="130">
        <v>519.0</v>
      </c>
      <c r="I8" s="134">
        <v>4.7453703703703704E-4</v>
      </c>
      <c r="J8" s="135">
        <v>0.2098</v>
      </c>
      <c r="K8" s="148">
        <v>498.0</v>
      </c>
      <c r="L8" s="130">
        <v>592.0</v>
      </c>
      <c r="M8" s="130">
        <v>673.0</v>
      </c>
      <c r="N8" s="134">
        <v>5.092592592592592E-4</v>
      </c>
      <c r="O8" s="136">
        <v>0.1892</v>
      </c>
    </row>
    <row r="9">
      <c r="C9" s="105"/>
    </row>
    <row r="10">
      <c r="C10" s="105"/>
    </row>
    <row r="11">
      <c r="C11" s="105"/>
    </row>
    <row r="12">
      <c r="C12" s="105"/>
    </row>
    <row r="13">
      <c r="C13" s="105"/>
    </row>
    <row r="14">
      <c r="C14" s="105"/>
    </row>
    <row r="15">
      <c r="C15" s="105"/>
    </row>
    <row r="16">
      <c r="C16" s="105"/>
    </row>
    <row r="17">
      <c r="C17" s="105"/>
      <c r="G17" s="149"/>
    </row>
    <row r="18">
      <c r="C18" s="105"/>
    </row>
    <row r="19">
      <c r="C19" s="105"/>
    </row>
    <row r="20">
      <c r="C20" s="105"/>
    </row>
    <row r="21">
      <c r="C21" s="105"/>
    </row>
    <row r="22">
      <c r="C22" s="105"/>
    </row>
    <row r="23">
      <c r="C23" s="105"/>
    </row>
    <row r="24">
      <c r="C24" s="105"/>
    </row>
    <row r="25">
      <c r="C25" s="105"/>
    </row>
    <row r="26">
      <c r="C26" s="105"/>
    </row>
    <row r="27">
      <c r="C27" s="105"/>
    </row>
    <row r="28">
      <c r="C28" s="105"/>
    </row>
    <row r="29">
      <c r="C29" s="105"/>
    </row>
    <row r="30">
      <c r="C30" s="105"/>
    </row>
    <row r="31">
      <c r="C31" s="105"/>
    </row>
    <row r="32">
      <c r="C32" s="105"/>
    </row>
    <row r="33">
      <c r="C33" s="105"/>
    </row>
    <row r="34">
      <c r="C34" s="105"/>
    </row>
    <row r="35">
      <c r="C35" s="105"/>
    </row>
    <row r="36">
      <c r="C36" s="105"/>
    </row>
    <row r="37">
      <c r="C37" s="105"/>
    </row>
    <row r="38">
      <c r="C38" s="105"/>
    </row>
    <row r="39">
      <c r="C39" s="105"/>
    </row>
    <row r="40">
      <c r="C40" s="105"/>
    </row>
    <row r="41">
      <c r="C41" s="105"/>
    </row>
    <row r="42">
      <c r="C42" s="105"/>
    </row>
    <row r="43">
      <c r="C43" s="105"/>
    </row>
    <row r="44">
      <c r="C44" s="105"/>
    </row>
    <row r="45">
      <c r="C45" s="105"/>
    </row>
    <row r="46">
      <c r="C46" s="105"/>
    </row>
    <row r="47">
      <c r="C47" s="105"/>
    </row>
    <row r="48">
      <c r="C48" s="105"/>
    </row>
    <row r="49">
      <c r="C49" s="105"/>
    </row>
    <row r="50">
      <c r="C50" s="105"/>
    </row>
    <row r="51">
      <c r="C51" s="105"/>
    </row>
    <row r="52">
      <c r="C52" s="105"/>
    </row>
    <row r="53">
      <c r="C53" s="105"/>
    </row>
    <row r="54">
      <c r="C54" s="105"/>
    </row>
    <row r="55">
      <c r="C55" s="105"/>
    </row>
    <row r="56">
      <c r="C56" s="105"/>
    </row>
    <row r="57">
      <c r="C57" s="105"/>
    </row>
    <row r="58">
      <c r="C58" s="105"/>
    </row>
    <row r="59">
      <c r="C59" s="105"/>
    </row>
    <row r="60">
      <c r="C60" s="105"/>
    </row>
    <row r="61">
      <c r="C61" s="105"/>
    </row>
    <row r="62">
      <c r="C62" s="105"/>
    </row>
    <row r="63">
      <c r="C63" s="105"/>
    </row>
    <row r="64">
      <c r="C64" s="105"/>
    </row>
    <row r="65">
      <c r="C65" s="105"/>
    </row>
    <row r="66">
      <c r="C66" s="105"/>
    </row>
    <row r="67">
      <c r="C67" s="105"/>
    </row>
    <row r="68">
      <c r="C68" s="105"/>
    </row>
    <row r="69">
      <c r="C69" s="105"/>
    </row>
    <row r="70">
      <c r="C70" s="105"/>
    </row>
    <row r="71">
      <c r="C71" s="105"/>
    </row>
    <row r="72">
      <c r="C72" s="105"/>
    </row>
    <row r="73">
      <c r="C73" s="105"/>
    </row>
    <row r="74">
      <c r="C74" s="105"/>
    </row>
    <row r="75">
      <c r="C75" s="105"/>
    </row>
    <row r="76">
      <c r="C76" s="105"/>
    </row>
    <row r="77">
      <c r="C77" s="105"/>
    </row>
    <row r="78">
      <c r="C78" s="105"/>
    </row>
    <row r="79">
      <c r="C79" s="105"/>
    </row>
    <row r="80">
      <c r="C80" s="105"/>
    </row>
    <row r="81">
      <c r="C81" s="105"/>
    </row>
    <row r="82">
      <c r="C82" s="105"/>
    </row>
    <row r="83">
      <c r="C83" s="105"/>
    </row>
    <row r="84">
      <c r="C84" s="105"/>
    </row>
    <row r="85">
      <c r="C85" s="105"/>
    </row>
    <row r="86">
      <c r="C86" s="105"/>
    </row>
    <row r="87">
      <c r="C87" s="105"/>
    </row>
    <row r="88">
      <c r="C88" s="105"/>
    </row>
    <row r="89">
      <c r="C89" s="105"/>
    </row>
    <row r="90">
      <c r="C90" s="105"/>
    </row>
    <row r="91">
      <c r="C91" s="105"/>
    </row>
    <row r="92">
      <c r="C92" s="105"/>
    </row>
    <row r="93">
      <c r="C93" s="105"/>
    </row>
    <row r="94">
      <c r="C94" s="105"/>
    </row>
    <row r="95">
      <c r="C95" s="105"/>
    </row>
    <row r="96">
      <c r="C96" s="105"/>
    </row>
    <row r="97">
      <c r="C97" s="105"/>
    </row>
    <row r="98">
      <c r="C98" s="105"/>
    </row>
    <row r="99">
      <c r="C99" s="105"/>
    </row>
    <row r="100">
      <c r="C100" s="105"/>
    </row>
    <row r="101">
      <c r="C101" s="105"/>
    </row>
    <row r="102">
      <c r="C102" s="105"/>
    </row>
    <row r="103">
      <c r="C103" s="105"/>
    </row>
    <row r="104">
      <c r="C104" s="105"/>
    </row>
    <row r="105">
      <c r="C105" s="105"/>
    </row>
    <row r="106">
      <c r="C106" s="105"/>
    </row>
    <row r="107">
      <c r="C107" s="105"/>
    </row>
    <row r="108">
      <c r="C108" s="105"/>
    </row>
    <row r="109">
      <c r="C109" s="105"/>
    </row>
    <row r="110">
      <c r="C110" s="105"/>
    </row>
    <row r="111">
      <c r="C111" s="105"/>
    </row>
    <row r="112">
      <c r="C112" s="105"/>
    </row>
    <row r="113">
      <c r="C113" s="105"/>
    </row>
    <row r="114">
      <c r="C114" s="105"/>
    </row>
    <row r="115">
      <c r="C115" s="105"/>
    </row>
    <row r="116">
      <c r="C116" s="105"/>
    </row>
    <row r="117">
      <c r="C117" s="105"/>
    </row>
    <row r="118">
      <c r="C118" s="105"/>
    </row>
    <row r="119">
      <c r="C119" s="105"/>
    </row>
    <row r="120">
      <c r="C120" s="105"/>
    </row>
    <row r="121">
      <c r="C121" s="105"/>
    </row>
    <row r="122">
      <c r="C122" s="105"/>
    </row>
    <row r="123">
      <c r="C123" s="105"/>
    </row>
    <row r="124">
      <c r="C124" s="105"/>
    </row>
    <row r="125">
      <c r="C125" s="105"/>
    </row>
    <row r="126">
      <c r="C126" s="105"/>
    </row>
    <row r="127">
      <c r="C127" s="105"/>
    </row>
    <row r="128">
      <c r="C128" s="105"/>
    </row>
    <row r="129">
      <c r="C129" s="105"/>
    </row>
    <row r="130">
      <c r="C130" s="105"/>
    </row>
    <row r="131">
      <c r="C131" s="105"/>
    </row>
    <row r="132">
      <c r="C132" s="105"/>
    </row>
    <row r="133">
      <c r="C133" s="105"/>
    </row>
    <row r="134">
      <c r="C134" s="105"/>
    </row>
    <row r="135">
      <c r="C135" s="105"/>
    </row>
    <row r="136">
      <c r="C136" s="105"/>
    </row>
    <row r="137">
      <c r="C137" s="105"/>
    </row>
    <row r="138">
      <c r="C138" s="105"/>
    </row>
    <row r="139">
      <c r="C139" s="105"/>
    </row>
    <row r="140">
      <c r="C140" s="105"/>
    </row>
    <row r="141">
      <c r="C141" s="105"/>
    </row>
    <row r="142">
      <c r="C142" s="105"/>
    </row>
    <row r="143">
      <c r="C143" s="105"/>
    </row>
    <row r="144">
      <c r="C144" s="105"/>
    </row>
    <row r="145">
      <c r="C145" s="105"/>
    </row>
    <row r="146">
      <c r="C146" s="105"/>
    </row>
    <row r="147">
      <c r="C147" s="105"/>
    </row>
    <row r="148">
      <c r="C148" s="105"/>
    </row>
    <row r="149">
      <c r="C149" s="105"/>
    </row>
    <row r="150">
      <c r="C150" s="105"/>
    </row>
    <row r="151">
      <c r="C151" s="105"/>
    </row>
    <row r="152">
      <c r="C152" s="105"/>
    </row>
    <row r="153">
      <c r="C153" s="105"/>
    </row>
    <row r="154">
      <c r="C154" s="105"/>
    </row>
    <row r="155">
      <c r="C155" s="105"/>
    </row>
    <row r="156">
      <c r="C156" s="105"/>
    </row>
    <row r="157">
      <c r="C157" s="105"/>
    </row>
    <row r="158">
      <c r="C158" s="105"/>
    </row>
    <row r="159">
      <c r="C159" s="105"/>
    </row>
    <row r="160">
      <c r="C160" s="105"/>
    </row>
    <row r="161">
      <c r="C161" s="105"/>
    </row>
    <row r="162">
      <c r="C162" s="105"/>
    </row>
    <row r="163">
      <c r="C163" s="105"/>
    </row>
    <row r="164">
      <c r="C164" s="105"/>
    </row>
    <row r="165">
      <c r="C165" s="105"/>
    </row>
    <row r="166">
      <c r="C166" s="105"/>
    </row>
    <row r="167">
      <c r="C167" s="105"/>
    </row>
    <row r="168">
      <c r="C168" s="105"/>
    </row>
    <row r="169">
      <c r="C169" s="105"/>
    </row>
    <row r="170">
      <c r="C170" s="105"/>
    </row>
    <row r="171">
      <c r="C171" s="105"/>
    </row>
    <row r="172">
      <c r="C172" s="105"/>
    </row>
    <row r="173">
      <c r="C173" s="105"/>
    </row>
    <row r="174">
      <c r="C174" s="105"/>
    </row>
    <row r="175">
      <c r="C175" s="105"/>
    </row>
    <row r="176">
      <c r="C176" s="105"/>
    </row>
    <row r="177">
      <c r="C177" s="105"/>
    </row>
    <row r="178">
      <c r="C178" s="105"/>
    </row>
    <row r="179">
      <c r="C179" s="105"/>
    </row>
    <row r="180">
      <c r="C180" s="105"/>
    </row>
    <row r="181">
      <c r="C181" s="105"/>
    </row>
    <row r="182">
      <c r="C182" s="105"/>
    </row>
    <row r="183">
      <c r="C183" s="105"/>
    </row>
    <row r="184">
      <c r="C184" s="105"/>
    </row>
    <row r="185">
      <c r="C185" s="105"/>
    </row>
    <row r="186">
      <c r="C186" s="105"/>
    </row>
    <row r="187">
      <c r="C187" s="105"/>
    </row>
    <row r="188">
      <c r="C188" s="105"/>
    </row>
    <row r="189">
      <c r="C189" s="105"/>
    </row>
    <row r="190">
      <c r="C190" s="105"/>
    </row>
    <row r="191">
      <c r="C191" s="105"/>
    </row>
    <row r="192">
      <c r="C192" s="105"/>
    </row>
    <row r="193">
      <c r="C193" s="105"/>
    </row>
    <row r="194">
      <c r="C194" s="105"/>
    </row>
    <row r="195">
      <c r="C195" s="105"/>
    </row>
    <row r="196">
      <c r="C196" s="105"/>
    </row>
    <row r="197">
      <c r="C197" s="105"/>
    </row>
    <row r="198">
      <c r="C198" s="105"/>
    </row>
    <row r="199">
      <c r="C199" s="105"/>
    </row>
    <row r="200">
      <c r="C200" s="105"/>
    </row>
    <row r="201">
      <c r="C201" s="105"/>
    </row>
    <row r="202">
      <c r="C202" s="105"/>
    </row>
    <row r="203">
      <c r="C203" s="105"/>
    </row>
    <row r="204">
      <c r="C204" s="105"/>
    </row>
    <row r="205">
      <c r="C205" s="105"/>
    </row>
    <row r="206">
      <c r="C206" s="105"/>
    </row>
    <row r="207">
      <c r="C207" s="105"/>
    </row>
    <row r="208">
      <c r="C208" s="105"/>
    </row>
    <row r="209">
      <c r="C209" s="105"/>
    </row>
    <row r="210">
      <c r="C210" s="105"/>
    </row>
    <row r="211">
      <c r="C211" s="105"/>
    </row>
    <row r="212">
      <c r="C212" s="105"/>
    </row>
    <row r="213">
      <c r="C213" s="105"/>
    </row>
    <row r="214">
      <c r="C214" s="105"/>
    </row>
    <row r="215">
      <c r="C215" s="105"/>
    </row>
    <row r="216">
      <c r="C216" s="105"/>
    </row>
    <row r="217">
      <c r="C217" s="105"/>
    </row>
    <row r="218">
      <c r="C218" s="105"/>
    </row>
    <row r="219">
      <c r="C219" s="105"/>
    </row>
    <row r="220">
      <c r="C220" s="105"/>
    </row>
    <row r="221">
      <c r="C221" s="105"/>
    </row>
    <row r="222">
      <c r="C222" s="105"/>
    </row>
    <row r="223">
      <c r="C223" s="105"/>
    </row>
    <row r="224">
      <c r="C224" s="105"/>
    </row>
    <row r="225">
      <c r="C225" s="105"/>
    </row>
    <row r="226">
      <c r="C226" s="105"/>
    </row>
    <row r="227">
      <c r="C227" s="105"/>
    </row>
    <row r="228">
      <c r="C228" s="105"/>
    </row>
    <row r="229">
      <c r="C229" s="105"/>
    </row>
    <row r="230">
      <c r="C230" s="105"/>
    </row>
    <row r="231">
      <c r="C231" s="105"/>
    </row>
    <row r="232">
      <c r="C232" s="105"/>
    </row>
    <row r="233">
      <c r="C233" s="105"/>
    </row>
    <row r="234">
      <c r="C234" s="105"/>
    </row>
    <row r="235">
      <c r="C235" s="105"/>
    </row>
    <row r="236">
      <c r="C236" s="105"/>
    </row>
    <row r="237">
      <c r="C237" s="105"/>
    </row>
    <row r="238">
      <c r="C238" s="105"/>
    </row>
    <row r="239">
      <c r="C239" s="105"/>
    </row>
    <row r="240">
      <c r="C240" s="105"/>
    </row>
    <row r="241">
      <c r="C241" s="105"/>
    </row>
    <row r="242">
      <c r="C242" s="105"/>
    </row>
    <row r="243">
      <c r="C243" s="105"/>
    </row>
    <row r="244">
      <c r="C244" s="105"/>
    </row>
    <row r="245">
      <c r="C245" s="105"/>
    </row>
    <row r="246">
      <c r="C246" s="105"/>
    </row>
    <row r="247">
      <c r="C247" s="105"/>
    </row>
    <row r="248">
      <c r="C248" s="105"/>
    </row>
    <row r="249">
      <c r="C249" s="105"/>
    </row>
    <row r="250">
      <c r="C250" s="105"/>
    </row>
    <row r="251">
      <c r="C251" s="105"/>
    </row>
    <row r="252">
      <c r="C252" s="105"/>
    </row>
    <row r="253">
      <c r="C253" s="105"/>
    </row>
    <row r="254">
      <c r="C254" s="105"/>
    </row>
    <row r="255">
      <c r="C255" s="105"/>
    </row>
    <row r="256">
      <c r="C256" s="105"/>
    </row>
    <row r="257">
      <c r="C257" s="105"/>
    </row>
    <row r="258">
      <c r="C258" s="105"/>
    </row>
    <row r="259">
      <c r="C259" s="105"/>
    </row>
    <row r="260">
      <c r="C260" s="105"/>
    </row>
    <row r="261">
      <c r="C261" s="105"/>
    </row>
    <row r="262">
      <c r="C262" s="105"/>
    </row>
    <row r="263">
      <c r="C263" s="105"/>
    </row>
    <row r="264">
      <c r="C264" s="105"/>
    </row>
    <row r="265">
      <c r="C265" s="105"/>
    </row>
    <row r="266">
      <c r="C266" s="105"/>
    </row>
    <row r="267">
      <c r="C267" s="105"/>
    </row>
    <row r="268">
      <c r="C268" s="105"/>
    </row>
    <row r="269">
      <c r="C269" s="105"/>
    </row>
    <row r="270">
      <c r="C270" s="105"/>
    </row>
    <row r="271">
      <c r="C271" s="105"/>
    </row>
    <row r="272">
      <c r="C272" s="105"/>
    </row>
    <row r="273">
      <c r="C273" s="105"/>
    </row>
    <row r="274">
      <c r="C274" s="105"/>
    </row>
    <row r="275">
      <c r="C275" s="105"/>
    </row>
    <row r="276">
      <c r="C276" s="105"/>
    </row>
    <row r="277">
      <c r="C277" s="105"/>
    </row>
    <row r="278">
      <c r="C278" s="105"/>
    </row>
    <row r="279">
      <c r="C279" s="105"/>
    </row>
    <row r="280">
      <c r="C280" s="105"/>
    </row>
    <row r="281">
      <c r="C281" s="105"/>
    </row>
    <row r="282">
      <c r="C282" s="105"/>
    </row>
    <row r="283">
      <c r="C283" s="105"/>
    </row>
    <row r="284">
      <c r="C284" s="105"/>
    </row>
    <row r="285">
      <c r="C285" s="105"/>
    </row>
    <row r="286">
      <c r="C286" s="105"/>
    </row>
    <row r="287">
      <c r="C287" s="105"/>
    </row>
    <row r="288">
      <c r="C288" s="105"/>
    </row>
    <row r="289">
      <c r="C289" s="105"/>
    </row>
    <row r="290">
      <c r="C290" s="105"/>
    </row>
    <row r="291">
      <c r="C291" s="105"/>
    </row>
    <row r="292">
      <c r="C292" s="105"/>
    </row>
    <row r="293">
      <c r="C293" s="105"/>
    </row>
    <row r="294">
      <c r="C294" s="105"/>
    </row>
    <row r="295">
      <c r="C295" s="105"/>
    </row>
    <row r="296">
      <c r="C296" s="105"/>
    </row>
    <row r="297">
      <c r="C297" s="105"/>
    </row>
    <row r="298">
      <c r="C298" s="105"/>
    </row>
    <row r="299">
      <c r="C299" s="105"/>
    </row>
    <row r="300">
      <c r="C300" s="105"/>
    </row>
    <row r="301">
      <c r="C301" s="105"/>
    </row>
    <row r="302">
      <c r="C302" s="105"/>
    </row>
    <row r="303">
      <c r="C303" s="105"/>
    </row>
    <row r="304">
      <c r="C304" s="105"/>
    </row>
    <row r="305">
      <c r="C305" s="105"/>
    </row>
    <row r="306">
      <c r="C306" s="105"/>
    </row>
    <row r="307">
      <c r="C307" s="105"/>
    </row>
    <row r="308">
      <c r="C308" s="105"/>
    </row>
    <row r="309">
      <c r="C309" s="105"/>
    </row>
    <row r="310">
      <c r="C310" s="105"/>
    </row>
    <row r="311">
      <c r="C311" s="105"/>
    </row>
    <row r="312">
      <c r="C312" s="105"/>
    </row>
    <row r="313">
      <c r="C313" s="105"/>
    </row>
    <row r="314">
      <c r="C314" s="105"/>
    </row>
    <row r="315">
      <c r="C315" s="105"/>
    </row>
    <row r="316">
      <c r="C316" s="105"/>
    </row>
    <row r="317">
      <c r="C317" s="105"/>
    </row>
    <row r="318">
      <c r="C318" s="105"/>
    </row>
    <row r="319">
      <c r="C319" s="105"/>
    </row>
    <row r="320">
      <c r="C320" s="105"/>
    </row>
    <row r="321">
      <c r="C321" s="105"/>
    </row>
    <row r="322">
      <c r="C322" s="105"/>
    </row>
    <row r="323">
      <c r="C323" s="105"/>
    </row>
    <row r="324">
      <c r="C324" s="105"/>
    </row>
    <row r="325">
      <c r="C325" s="105"/>
    </row>
    <row r="326">
      <c r="C326" s="105"/>
    </row>
    <row r="327">
      <c r="C327" s="105"/>
    </row>
    <row r="328">
      <c r="C328" s="105"/>
    </row>
    <row r="329">
      <c r="C329" s="105"/>
    </row>
    <row r="330">
      <c r="C330" s="105"/>
    </row>
    <row r="331">
      <c r="C331" s="105"/>
    </row>
    <row r="332">
      <c r="C332" s="105"/>
    </row>
    <row r="333">
      <c r="C333" s="105"/>
    </row>
    <row r="334">
      <c r="C334" s="105"/>
    </row>
    <row r="335">
      <c r="C335" s="105"/>
    </row>
    <row r="336">
      <c r="C336" s="105"/>
    </row>
    <row r="337">
      <c r="C337" s="105"/>
    </row>
    <row r="338">
      <c r="C338" s="105"/>
    </row>
    <row r="339">
      <c r="C339" s="105"/>
    </row>
    <row r="340">
      <c r="C340" s="105"/>
    </row>
    <row r="341">
      <c r="C341" s="105"/>
    </row>
    <row r="342">
      <c r="C342" s="105"/>
    </row>
    <row r="343">
      <c r="C343" s="105"/>
    </row>
    <row r="344">
      <c r="C344" s="105"/>
    </row>
    <row r="345">
      <c r="C345" s="105"/>
    </row>
    <row r="346">
      <c r="C346" s="105"/>
    </row>
    <row r="347">
      <c r="C347" s="105"/>
    </row>
    <row r="348">
      <c r="C348" s="105"/>
    </row>
    <row r="349">
      <c r="C349" s="105"/>
    </row>
    <row r="350">
      <c r="C350" s="105"/>
    </row>
    <row r="351">
      <c r="C351" s="105"/>
    </row>
    <row r="352">
      <c r="C352" s="105"/>
    </row>
    <row r="353">
      <c r="C353" s="105"/>
    </row>
    <row r="354">
      <c r="C354" s="105"/>
    </row>
    <row r="355">
      <c r="C355" s="105"/>
    </row>
    <row r="356">
      <c r="C356" s="105"/>
    </row>
    <row r="357">
      <c r="C357" s="105"/>
    </row>
    <row r="358">
      <c r="C358" s="105"/>
    </row>
    <row r="359">
      <c r="C359" s="105"/>
    </row>
    <row r="360">
      <c r="C360" s="105"/>
    </row>
    <row r="361">
      <c r="C361" s="105"/>
    </row>
    <row r="362">
      <c r="C362" s="105"/>
    </row>
    <row r="363">
      <c r="C363" s="105"/>
    </row>
    <row r="364">
      <c r="C364" s="105"/>
    </row>
    <row r="365">
      <c r="C365" s="105"/>
    </row>
    <row r="366">
      <c r="C366" s="105"/>
    </row>
    <row r="367">
      <c r="C367" s="105"/>
    </row>
    <row r="368">
      <c r="C368" s="105"/>
    </row>
    <row r="369">
      <c r="C369" s="105"/>
    </row>
    <row r="370">
      <c r="C370" s="105"/>
    </row>
    <row r="371">
      <c r="C371" s="105"/>
    </row>
    <row r="372">
      <c r="C372" s="105"/>
    </row>
    <row r="373">
      <c r="C373" s="105"/>
    </row>
    <row r="374">
      <c r="C374" s="105"/>
    </row>
    <row r="375">
      <c r="C375" s="105"/>
    </row>
    <row r="376">
      <c r="C376" s="105"/>
    </row>
    <row r="377">
      <c r="C377" s="105"/>
    </row>
    <row r="378">
      <c r="C378" s="105"/>
    </row>
    <row r="379">
      <c r="C379" s="105"/>
    </row>
    <row r="380">
      <c r="C380" s="105"/>
    </row>
    <row r="381">
      <c r="C381" s="105"/>
    </row>
    <row r="382">
      <c r="C382" s="105"/>
    </row>
    <row r="383">
      <c r="C383" s="105"/>
    </row>
    <row r="384">
      <c r="C384" s="105"/>
    </row>
    <row r="385">
      <c r="C385" s="105"/>
    </row>
    <row r="386">
      <c r="C386" s="105"/>
    </row>
    <row r="387">
      <c r="C387" s="105"/>
    </row>
    <row r="388">
      <c r="C388" s="105"/>
    </row>
    <row r="389">
      <c r="C389" s="105"/>
    </row>
    <row r="390">
      <c r="C390" s="105"/>
    </row>
    <row r="391">
      <c r="C391" s="105"/>
    </row>
    <row r="392">
      <c r="C392" s="105"/>
    </row>
    <row r="393">
      <c r="C393" s="105"/>
    </row>
    <row r="394">
      <c r="C394" s="105"/>
    </row>
    <row r="395">
      <c r="C395" s="105"/>
    </row>
    <row r="396">
      <c r="C396" s="105"/>
    </row>
    <row r="397">
      <c r="C397" s="105"/>
    </row>
    <row r="398">
      <c r="C398" s="105"/>
    </row>
    <row r="399">
      <c r="C399" s="105"/>
    </row>
    <row r="400">
      <c r="C400" s="105"/>
    </row>
    <row r="401">
      <c r="C401" s="105"/>
    </row>
    <row r="402">
      <c r="C402" s="105"/>
    </row>
    <row r="403">
      <c r="C403" s="105"/>
    </row>
    <row r="404">
      <c r="C404" s="105"/>
    </row>
    <row r="405">
      <c r="C405" s="105"/>
    </row>
    <row r="406">
      <c r="C406" s="105"/>
    </row>
    <row r="407">
      <c r="C407" s="105"/>
    </row>
    <row r="408">
      <c r="C408" s="105"/>
    </row>
    <row r="409">
      <c r="C409" s="105"/>
    </row>
    <row r="410">
      <c r="C410" s="105"/>
    </row>
    <row r="411">
      <c r="C411" s="105"/>
    </row>
    <row r="412">
      <c r="C412" s="105"/>
    </row>
    <row r="413">
      <c r="C413" s="105"/>
    </row>
    <row r="414">
      <c r="C414" s="105"/>
    </row>
    <row r="415">
      <c r="C415" s="105"/>
    </row>
    <row r="416">
      <c r="C416" s="105"/>
    </row>
    <row r="417">
      <c r="C417" s="105"/>
    </row>
    <row r="418">
      <c r="C418" s="105"/>
    </row>
    <row r="419">
      <c r="C419" s="105"/>
    </row>
    <row r="420">
      <c r="C420" s="105"/>
    </row>
    <row r="421">
      <c r="C421" s="105"/>
    </row>
    <row r="422">
      <c r="C422" s="105"/>
    </row>
    <row r="423">
      <c r="C423" s="105"/>
    </row>
    <row r="424">
      <c r="C424" s="105"/>
    </row>
    <row r="425">
      <c r="C425" s="105"/>
    </row>
    <row r="426">
      <c r="C426" s="105"/>
    </row>
    <row r="427">
      <c r="C427" s="105"/>
    </row>
    <row r="428">
      <c r="C428" s="105"/>
    </row>
    <row r="429">
      <c r="C429" s="105"/>
    </row>
    <row r="430">
      <c r="C430" s="105"/>
    </row>
    <row r="431">
      <c r="C431" s="105"/>
    </row>
    <row r="432">
      <c r="C432" s="105"/>
    </row>
    <row r="433">
      <c r="C433" s="105"/>
    </row>
    <row r="434">
      <c r="C434" s="105"/>
    </row>
    <row r="435">
      <c r="C435" s="105"/>
    </row>
    <row r="436">
      <c r="C436" s="105"/>
    </row>
    <row r="437">
      <c r="C437" s="105"/>
    </row>
    <row r="438">
      <c r="C438" s="105"/>
    </row>
    <row r="439">
      <c r="C439" s="105"/>
    </row>
    <row r="440">
      <c r="C440" s="105"/>
    </row>
    <row r="441">
      <c r="C441" s="105"/>
    </row>
    <row r="442">
      <c r="C442" s="105"/>
    </row>
    <row r="443">
      <c r="C443" s="105"/>
    </row>
    <row r="444">
      <c r="C444" s="105"/>
    </row>
    <row r="445">
      <c r="C445" s="105"/>
    </row>
    <row r="446">
      <c r="C446" s="105"/>
    </row>
    <row r="447">
      <c r="C447" s="105"/>
    </row>
    <row r="448">
      <c r="C448" s="105"/>
    </row>
    <row r="449">
      <c r="C449" s="105"/>
    </row>
    <row r="450">
      <c r="C450" s="105"/>
    </row>
    <row r="451">
      <c r="C451" s="105"/>
    </row>
    <row r="452">
      <c r="C452" s="105"/>
    </row>
    <row r="453">
      <c r="C453" s="105"/>
    </row>
    <row r="454">
      <c r="C454" s="105"/>
    </row>
    <row r="455">
      <c r="C455" s="105"/>
    </row>
    <row r="456">
      <c r="C456" s="105"/>
    </row>
    <row r="457">
      <c r="C457" s="105"/>
    </row>
    <row r="458">
      <c r="C458" s="105"/>
    </row>
    <row r="459">
      <c r="C459" s="105"/>
    </row>
    <row r="460">
      <c r="C460" s="105"/>
    </row>
    <row r="461">
      <c r="C461" s="105"/>
    </row>
    <row r="462">
      <c r="C462" s="105"/>
    </row>
    <row r="463">
      <c r="C463" s="105"/>
    </row>
    <row r="464">
      <c r="C464" s="105"/>
    </row>
    <row r="465">
      <c r="C465" s="105"/>
    </row>
    <row r="466">
      <c r="C466" s="105"/>
    </row>
    <row r="467">
      <c r="C467" s="105"/>
    </row>
    <row r="468">
      <c r="C468" s="105"/>
    </row>
    <row r="469">
      <c r="C469" s="105"/>
    </row>
    <row r="470">
      <c r="C470" s="105"/>
    </row>
    <row r="471">
      <c r="C471" s="105"/>
    </row>
    <row r="472">
      <c r="C472" s="105"/>
    </row>
    <row r="473">
      <c r="C473" s="105"/>
    </row>
    <row r="474">
      <c r="C474" s="105"/>
    </row>
    <row r="475">
      <c r="C475" s="105"/>
    </row>
    <row r="476">
      <c r="C476" s="105"/>
    </row>
    <row r="477">
      <c r="C477" s="105"/>
    </row>
    <row r="478">
      <c r="C478" s="105"/>
    </row>
    <row r="479">
      <c r="C479" s="105"/>
    </row>
    <row r="480">
      <c r="C480" s="105"/>
    </row>
    <row r="481">
      <c r="C481" s="105"/>
    </row>
    <row r="482">
      <c r="C482" s="105"/>
    </row>
    <row r="483">
      <c r="C483" s="105"/>
    </row>
    <row r="484">
      <c r="C484" s="105"/>
    </row>
    <row r="485">
      <c r="C485" s="105"/>
    </row>
    <row r="486">
      <c r="C486" s="105"/>
    </row>
    <row r="487">
      <c r="C487" s="105"/>
    </row>
    <row r="488">
      <c r="C488" s="105"/>
    </row>
    <row r="489">
      <c r="C489" s="105"/>
    </row>
    <row r="490">
      <c r="C490" s="105"/>
    </row>
    <row r="491">
      <c r="C491" s="105"/>
    </row>
    <row r="492">
      <c r="C492" s="105"/>
    </row>
    <row r="493">
      <c r="C493" s="105"/>
    </row>
    <row r="494">
      <c r="C494" s="105"/>
    </row>
    <row r="495">
      <c r="C495" s="105"/>
    </row>
    <row r="496">
      <c r="C496" s="105"/>
    </row>
    <row r="497">
      <c r="C497" s="105"/>
    </row>
    <row r="498">
      <c r="C498" s="105"/>
    </row>
    <row r="499">
      <c r="C499" s="105"/>
    </row>
    <row r="500">
      <c r="C500" s="105"/>
    </row>
    <row r="501">
      <c r="C501" s="105"/>
    </row>
    <row r="502">
      <c r="C502" s="105"/>
    </row>
    <row r="503">
      <c r="C503" s="105"/>
    </row>
    <row r="504">
      <c r="C504" s="105"/>
    </row>
    <row r="505">
      <c r="C505" s="105"/>
    </row>
    <row r="506">
      <c r="C506" s="105"/>
    </row>
    <row r="507">
      <c r="C507" s="105"/>
    </row>
    <row r="508">
      <c r="C508" s="105"/>
    </row>
    <row r="509">
      <c r="C509" s="105"/>
    </row>
    <row r="510">
      <c r="C510" s="105"/>
    </row>
    <row r="511">
      <c r="C511" s="105"/>
    </row>
    <row r="512">
      <c r="C512" s="105"/>
    </row>
    <row r="513">
      <c r="C513" s="105"/>
    </row>
    <row r="514">
      <c r="C514" s="105"/>
    </row>
    <row r="515">
      <c r="C515" s="105"/>
    </row>
    <row r="516">
      <c r="C516" s="105"/>
    </row>
    <row r="517">
      <c r="C517" s="105"/>
    </row>
    <row r="518">
      <c r="C518" s="105"/>
    </row>
    <row r="519">
      <c r="C519" s="105"/>
    </row>
    <row r="520">
      <c r="C520" s="105"/>
    </row>
    <row r="521">
      <c r="C521" s="105"/>
    </row>
    <row r="522">
      <c r="C522" s="105"/>
    </row>
    <row r="523">
      <c r="C523" s="105"/>
    </row>
    <row r="524">
      <c r="C524" s="105"/>
    </row>
    <row r="525">
      <c r="C525" s="105"/>
    </row>
    <row r="526">
      <c r="C526" s="105"/>
    </row>
    <row r="527">
      <c r="C527" s="105"/>
    </row>
    <row r="528">
      <c r="C528" s="105"/>
    </row>
    <row r="529">
      <c r="C529" s="105"/>
    </row>
    <row r="530">
      <c r="C530" s="105"/>
    </row>
    <row r="531">
      <c r="C531" s="105"/>
    </row>
    <row r="532">
      <c r="C532" s="105"/>
    </row>
    <row r="533">
      <c r="C533" s="105"/>
    </row>
    <row r="534">
      <c r="C534" s="105"/>
    </row>
    <row r="535">
      <c r="C535" s="105"/>
    </row>
    <row r="536">
      <c r="C536" s="105"/>
    </row>
    <row r="537">
      <c r="C537" s="105"/>
    </row>
    <row r="538">
      <c r="C538" s="105"/>
    </row>
    <row r="539">
      <c r="C539" s="105"/>
    </row>
    <row r="540">
      <c r="C540" s="105"/>
    </row>
    <row r="541">
      <c r="C541" s="105"/>
    </row>
    <row r="542">
      <c r="C542" s="105"/>
    </row>
    <row r="543">
      <c r="C543" s="105"/>
    </row>
    <row r="544">
      <c r="C544" s="105"/>
    </row>
    <row r="545">
      <c r="C545" s="105"/>
    </row>
    <row r="546">
      <c r="C546" s="105"/>
    </row>
    <row r="547">
      <c r="C547" s="105"/>
    </row>
    <row r="548">
      <c r="C548" s="105"/>
    </row>
    <row r="549">
      <c r="C549" s="105"/>
    </row>
    <row r="550">
      <c r="C550" s="105"/>
    </row>
    <row r="551">
      <c r="C551" s="105"/>
    </row>
    <row r="552">
      <c r="C552" s="105"/>
    </row>
    <row r="553">
      <c r="C553" s="105"/>
    </row>
    <row r="554">
      <c r="C554" s="105"/>
    </row>
    <row r="555">
      <c r="C555" s="105"/>
    </row>
    <row r="556">
      <c r="C556" s="105"/>
    </row>
    <row r="557">
      <c r="C557" s="105"/>
    </row>
    <row r="558">
      <c r="C558" s="105"/>
    </row>
    <row r="559">
      <c r="C559" s="105"/>
    </row>
    <row r="560">
      <c r="C560" s="105"/>
    </row>
    <row r="561">
      <c r="C561" s="105"/>
    </row>
    <row r="562">
      <c r="C562" s="105"/>
    </row>
    <row r="563">
      <c r="C563" s="105"/>
    </row>
    <row r="564">
      <c r="C564" s="105"/>
    </row>
    <row r="565">
      <c r="C565" s="105"/>
    </row>
    <row r="566">
      <c r="C566" s="105"/>
    </row>
    <row r="567">
      <c r="C567" s="105"/>
    </row>
    <row r="568">
      <c r="C568" s="105"/>
    </row>
    <row r="569">
      <c r="C569" s="105"/>
    </row>
    <row r="570">
      <c r="C570" s="105"/>
    </row>
    <row r="571">
      <c r="C571" s="105"/>
    </row>
    <row r="572">
      <c r="C572" s="105"/>
    </row>
    <row r="573">
      <c r="C573" s="105"/>
    </row>
    <row r="574">
      <c r="C574" s="105"/>
    </row>
    <row r="575">
      <c r="C575" s="105"/>
    </row>
    <row r="576">
      <c r="C576" s="105"/>
    </row>
    <row r="577">
      <c r="C577" s="105"/>
    </row>
    <row r="578">
      <c r="C578" s="105"/>
    </row>
    <row r="579">
      <c r="C579" s="105"/>
    </row>
    <row r="580">
      <c r="C580" s="105"/>
    </row>
    <row r="581">
      <c r="C581" s="105"/>
    </row>
    <row r="582">
      <c r="C582" s="105"/>
    </row>
    <row r="583">
      <c r="C583" s="105"/>
    </row>
    <row r="584">
      <c r="C584" s="105"/>
    </row>
    <row r="585">
      <c r="C585" s="105"/>
    </row>
    <row r="586">
      <c r="C586" s="105"/>
    </row>
    <row r="587">
      <c r="C587" s="105"/>
    </row>
    <row r="588">
      <c r="C588" s="105"/>
    </row>
    <row r="589">
      <c r="C589" s="105"/>
    </row>
    <row r="590">
      <c r="C590" s="105"/>
    </row>
    <row r="591">
      <c r="C591" s="105"/>
    </row>
    <row r="592">
      <c r="C592" s="105"/>
    </row>
    <row r="593">
      <c r="C593" s="105"/>
    </row>
    <row r="594">
      <c r="C594" s="105"/>
    </row>
    <row r="595">
      <c r="C595" s="105"/>
    </row>
    <row r="596">
      <c r="C596" s="105"/>
    </row>
    <row r="597">
      <c r="C597" s="105"/>
    </row>
    <row r="598">
      <c r="C598" s="105"/>
    </row>
    <row r="599">
      <c r="C599" s="105"/>
    </row>
    <row r="600">
      <c r="C600" s="105"/>
    </row>
    <row r="601">
      <c r="C601" s="105"/>
    </row>
    <row r="602">
      <c r="C602" s="105"/>
    </row>
    <row r="603">
      <c r="C603" s="105"/>
    </row>
    <row r="604">
      <c r="C604" s="105"/>
    </row>
    <row r="605">
      <c r="C605" s="105"/>
    </row>
    <row r="606">
      <c r="C606" s="105"/>
    </row>
    <row r="607">
      <c r="C607" s="105"/>
    </row>
    <row r="608">
      <c r="C608" s="105"/>
    </row>
    <row r="609">
      <c r="C609" s="105"/>
    </row>
    <row r="610">
      <c r="C610" s="105"/>
    </row>
    <row r="611">
      <c r="C611" s="105"/>
    </row>
    <row r="612">
      <c r="C612" s="105"/>
    </row>
    <row r="613">
      <c r="C613" s="105"/>
    </row>
    <row r="614">
      <c r="C614" s="105"/>
    </row>
    <row r="615">
      <c r="C615" s="105"/>
    </row>
    <row r="616">
      <c r="C616" s="105"/>
    </row>
    <row r="617">
      <c r="C617" s="105"/>
    </row>
    <row r="618">
      <c r="C618" s="105"/>
    </row>
    <row r="619">
      <c r="C619" s="105"/>
    </row>
    <row r="620">
      <c r="C620" s="105"/>
    </row>
    <row r="621">
      <c r="C621" s="105"/>
    </row>
    <row r="622">
      <c r="C622" s="105"/>
    </row>
    <row r="623">
      <c r="C623" s="105"/>
    </row>
    <row r="624">
      <c r="C624" s="105"/>
    </row>
    <row r="625">
      <c r="C625" s="105"/>
    </row>
    <row r="626">
      <c r="C626" s="105"/>
    </row>
    <row r="627">
      <c r="C627" s="105"/>
    </row>
    <row r="628">
      <c r="C628" s="105"/>
    </row>
    <row r="629">
      <c r="C629" s="105"/>
    </row>
    <row r="630">
      <c r="C630" s="105"/>
    </row>
    <row r="631">
      <c r="C631" s="105"/>
    </row>
    <row r="632">
      <c r="C632" s="105"/>
    </row>
    <row r="633">
      <c r="C633" s="105"/>
    </row>
    <row r="634">
      <c r="C634" s="105"/>
    </row>
    <row r="635">
      <c r="C635" s="105"/>
    </row>
    <row r="636">
      <c r="C636" s="105"/>
    </row>
    <row r="637">
      <c r="C637" s="105"/>
    </row>
    <row r="638">
      <c r="C638" s="105"/>
    </row>
    <row r="639">
      <c r="C639" s="105"/>
    </row>
    <row r="640">
      <c r="C640" s="105"/>
    </row>
    <row r="641">
      <c r="C641" s="105"/>
    </row>
    <row r="642">
      <c r="C642" s="105"/>
    </row>
    <row r="643">
      <c r="C643" s="105"/>
    </row>
    <row r="644">
      <c r="C644" s="105"/>
    </row>
    <row r="645">
      <c r="C645" s="105"/>
    </row>
    <row r="646">
      <c r="C646" s="105"/>
    </row>
    <row r="647">
      <c r="C647" s="105"/>
    </row>
    <row r="648">
      <c r="C648" s="105"/>
    </row>
    <row r="649">
      <c r="C649" s="105"/>
    </row>
    <row r="650">
      <c r="C650" s="105"/>
    </row>
    <row r="651">
      <c r="C651" s="105"/>
    </row>
    <row r="652">
      <c r="C652" s="105"/>
    </row>
    <row r="653">
      <c r="C653" s="105"/>
    </row>
    <row r="654">
      <c r="C654" s="105"/>
    </row>
    <row r="655">
      <c r="C655" s="105"/>
    </row>
    <row r="656">
      <c r="C656" s="105"/>
    </row>
    <row r="657">
      <c r="C657" s="105"/>
    </row>
    <row r="658">
      <c r="C658" s="105"/>
    </row>
    <row r="659">
      <c r="C659" s="105"/>
    </row>
    <row r="660">
      <c r="C660" s="105"/>
    </row>
    <row r="661">
      <c r="C661" s="105"/>
    </row>
    <row r="662">
      <c r="C662" s="105"/>
    </row>
    <row r="663">
      <c r="C663" s="105"/>
    </row>
    <row r="664">
      <c r="C664" s="105"/>
    </row>
    <row r="665">
      <c r="C665" s="105"/>
    </row>
    <row r="666">
      <c r="C666" s="105"/>
    </row>
    <row r="667">
      <c r="C667" s="105"/>
    </row>
    <row r="668">
      <c r="C668" s="105"/>
    </row>
    <row r="669">
      <c r="C669" s="105"/>
    </row>
    <row r="670">
      <c r="C670" s="105"/>
    </row>
    <row r="671">
      <c r="C671" s="105"/>
    </row>
    <row r="672">
      <c r="C672" s="105"/>
    </row>
    <row r="673">
      <c r="C673" s="105"/>
    </row>
    <row r="674">
      <c r="C674" s="105"/>
    </row>
    <row r="675">
      <c r="C675" s="105"/>
    </row>
    <row r="676">
      <c r="C676" s="105"/>
    </row>
    <row r="677">
      <c r="C677" s="105"/>
    </row>
    <row r="678">
      <c r="C678" s="105"/>
    </row>
    <row r="679">
      <c r="C679" s="105"/>
    </row>
    <row r="680">
      <c r="C680" s="105"/>
    </row>
    <row r="681">
      <c r="C681" s="105"/>
    </row>
    <row r="682">
      <c r="C682" s="105"/>
    </row>
    <row r="683">
      <c r="C683" s="105"/>
    </row>
    <row r="684">
      <c r="C684" s="105"/>
    </row>
    <row r="685">
      <c r="C685" s="105"/>
    </row>
    <row r="686">
      <c r="C686" s="105"/>
    </row>
    <row r="687">
      <c r="C687" s="105"/>
    </row>
    <row r="688">
      <c r="C688" s="105"/>
    </row>
    <row r="689">
      <c r="C689" s="105"/>
    </row>
    <row r="690">
      <c r="C690" s="105"/>
    </row>
    <row r="691">
      <c r="C691" s="105"/>
    </row>
    <row r="692">
      <c r="C692" s="105"/>
    </row>
    <row r="693">
      <c r="C693" s="105"/>
    </row>
    <row r="694">
      <c r="C694" s="105"/>
    </row>
    <row r="695">
      <c r="C695" s="105"/>
    </row>
    <row r="696">
      <c r="C696" s="105"/>
    </row>
    <row r="697">
      <c r="C697" s="105"/>
    </row>
    <row r="698">
      <c r="C698" s="105"/>
    </row>
    <row r="699">
      <c r="C699" s="105"/>
    </row>
    <row r="700">
      <c r="C700" s="105"/>
    </row>
    <row r="701">
      <c r="C701" s="105"/>
    </row>
    <row r="702">
      <c r="C702" s="105"/>
    </row>
    <row r="703">
      <c r="C703" s="105"/>
    </row>
    <row r="704">
      <c r="C704" s="105"/>
    </row>
    <row r="705">
      <c r="C705" s="105"/>
    </row>
    <row r="706">
      <c r="C706" s="105"/>
    </row>
    <row r="707">
      <c r="C707" s="105"/>
    </row>
    <row r="708">
      <c r="C708" s="105"/>
    </row>
    <row r="709">
      <c r="C709" s="105"/>
    </row>
    <row r="710">
      <c r="C710" s="105"/>
    </row>
    <row r="711">
      <c r="C711" s="105"/>
    </row>
    <row r="712">
      <c r="C712" s="105"/>
    </row>
    <row r="713">
      <c r="C713" s="105"/>
    </row>
    <row r="714">
      <c r="C714" s="105"/>
    </row>
    <row r="715">
      <c r="C715" s="105"/>
    </row>
    <row r="716">
      <c r="C716" s="105"/>
    </row>
    <row r="717">
      <c r="C717" s="105"/>
    </row>
    <row r="718">
      <c r="C718" s="105"/>
    </row>
    <row r="719">
      <c r="C719" s="105"/>
    </row>
    <row r="720">
      <c r="C720" s="105"/>
    </row>
    <row r="721">
      <c r="C721" s="105"/>
    </row>
    <row r="722">
      <c r="C722" s="105"/>
    </row>
    <row r="723">
      <c r="C723" s="105"/>
    </row>
    <row r="724">
      <c r="C724" s="105"/>
    </row>
    <row r="725">
      <c r="C725" s="105"/>
    </row>
    <row r="726">
      <c r="C726" s="105"/>
    </row>
    <row r="727">
      <c r="C727" s="105"/>
    </row>
    <row r="728">
      <c r="C728" s="105"/>
    </row>
    <row r="729">
      <c r="C729" s="105"/>
    </row>
    <row r="730">
      <c r="C730" s="105"/>
    </row>
    <row r="731">
      <c r="C731" s="105"/>
    </row>
    <row r="732">
      <c r="C732" s="105"/>
    </row>
    <row r="733">
      <c r="C733" s="105"/>
    </row>
    <row r="734">
      <c r="C734" s="105"/>
    </row>
    <row r="735">
      <c r="C735" s="105"/>
    </row>
    <row r="736">
      <c r="C736" s="105"/>
    </row>
    <row r="737">
      <c r="C737" s="105"/>
    </row>
    <row r="738">
      <c r="C738" s="105"/>
    </row>
    <row r="739">
      <c r="C739" s="105"/>
    </row>
    <row r="740">
      <c r="C740" s="105"/>
    </row>
    <row r="741">
      <c r="C741" s="105"/>
    </row>
    <row r="742">
      <c r="C742" s="105"/>
    </row>
    <row r="743">
      <c r="C743" s="105"/>
    </row>
    <row r="744">
      <c r="C744" s="105"/>
    </row>
    <row r="745">
      <c r="C745" s="105"/>
    </row>
    <row r="746">
      <c r="C746" s="105"/>
    </row>
    <row r="747">
      <c r="C747" s="105"/>
    </row>
    <row r="748">
      <c r="C748" s="105"/>
    </row>
    <row r="749">
      <c r="C749" s="105"/>
    </row>
    <row r="750">
      <c r="C750" s="105"/>
    </row>
    <row r="751">
      <c r="C751" s="105"/>
    </row>
    <row r="752">
      <c r="C752" s="105"/>
    </row>
    <row r="753">
      <c r="C753" s="105"/>
    </row>
    <row r="754">
      <c r="C754" s="105"/>
    </row>
    <row r="755">
      <c r="C755" s="105"/>
    </row>
    <row r="756">
      <c r="C756" s="105"/>
    </row>
    <row r="757">
      <c r="C757" s="105"/>
    </row>
    <row r="758">
      <c r="C758" s="105"/>
    </row>
    <row r="759">
      <c r="C759" s="105"/>
    </row>
    <row r="760">
      <c r="C760" s="105"/>
    </row>
    <row r="761">
      <c r="C761" s="105"/>
    </row>
    <row r="762">
      <c r="C762" s="105"/>
    </row>
    <row r="763">
      <c r="C763" s="105"/>
    </row>
    <row r="764">
      <c r="C764" s="105"/>
    </row>
    <row r="765">
      <c r="C765" s="105"/>
    </row>
    <row r="766">
      <c r="C766" s="105"/>
    </row>
    <row r="767">
      <c r="C767" s="105"/>
    </row>
    <row r="768">
      <c r="C768" s="105"/>
    </row>
    <row r="769">
      <c r="C769" s="105"/>
    </row>
    <row r="770">
      <c r="C770" s="105"/>
    </row>
    <row r="771">
      <c r="C771" s="105"/>
    </row>
    <row r="772">
      <c r="C772" s="105"/>
    </row>
    <row r="773">
      <c r="C773" s="105"/>
    </row>
    <row r="774">
      <c r="C774" s="105"/>
    </row>
    <row r="775">
      <c r="C775" s="105"/>
    </row>
    <row r="776">
      <c r="C776" s="105"/>
    </row>
    <row r="777">
      <c r="C777" s="105"/>
    </row>
    <row r="778">
      <c r="C778" s="105"/>
    </row>
    <row r="779">
      <c r="C779" s="105"/>
    </row>
    <row r="780">
      <c r="C780" s="105"/>
    </row>
    <row r="781">
      <c r="C781" s="105"/>
    </row>
    <row r="782">
      <c r="C782" s="105"/>
    </row>
    <row r="783">
      <c r="C783" s="105"/>
    </row>
    <row r="784">
      <c r="C784" s="105"/>
    </row>
    <row r="785">
      <c r="C785" s="105"/>
    </row>
    <row r="786">
      <c r="C786" s="105"/>
    </row>
    <row r="787">
      <c r="C787" s="105"/>
    </row>
    <row r="788">
      <c r="C788" s="105"/>
    </row>
    <row r="789">
      <c r="C789" s="105"/>
    </row>
    <row r="790">
      <c r="C790" s="105"/>
    </row>
    <row r="791">
      <c r="C791" s="105"/>
    </row>
    <row r="792">
      <c r="C792" s="105"/>
    </row>
    <row r="793">
      <c r="C793" s="105"/>
    </row>
    <row r="794">
      <c r="C794" s="105"/>
    </row>
    <row r="795">
      <c r="C795" s="105"/>
    </row>
    <row r="796">
      <c r="C796" s="105"/>
    </row>
    <row r="797">
      <c r="C797" s="105"/>
    </row>
    <row r="798">
      <c r="C798" s="105"/>
    </row>
    <row r="799">
      <c r="C799" s="105"/>
    </row>
    <row r="800">
      <c r="C800" s="105"/>
    </row>
    <row r="801">
      <c r="C801" s="105"/>
    </row>
    <row r="802">
      <c r="C802" s="105"/>
    </row>
    <row r="803">
      <c r="C803" s="105"/>
    </row>
    <row r="804">
      <c r="C804" s="105"/>
    </row>
    <row r="805">
      <c r="C805" s="105"/>
    </row>
    <row r="806">
      <c r="C806" s="105"/>
    </row>
    <row r="807">
      <c r="C807" s="105"/>
    </row>
    <row r="808">
      <c r="C808" s="105"/>
    </row>
    <row r="809">
      <c r="C809" s="105"/>
    </row>
    <row r="810">
      <c r="C810" s="105"/>
    </row>
    <row r="811">
      <c r="C811" s="105"/>
    </row>
    <row r="812">
      <c r="C812" s="105"/>
    </row>
    <row r="813">
      <c r="C813" s="105"/>
    </row>
    <row r="814">
      <c r="C814" s="105"/>
    </row>
    <row r="815">
      <c r="C815" s="105"/>
    </row>
    <row r="816">
      <c r="C816" s="105"/>
    </row>
    <row r="817">
      <c r="C817" s="105"/>
    </row>
    <row r="818">
      <c r="C818" s="105"/>
    </row>
    <row r="819">
      <c r="C819" s="105"/>
    </row>
    <row r="820">
      <c r="C820" s="105"/>
    </row>
    <row r="821">
      <c r="C821" s="105"/>
    </row>
    <row r="822">
      <c r="C822" s="105"/>
    </row>
    <row r="823">
      <c r="C823" s="105"/>
    </row>
    <row r="824">
      <c r="C824" s="105"/>
    </row>
    <row r="825">
      <c r="C825" s="105"/>
    </row>
    <row r="826">
      <c r="C826" s="105"/>
    </row>
    <row r="827">
      <c r="C827" s="105"/>
    </row>
    <row r="828">
      <c r="C828" s="105"/>
    </row>
    <row r="829">
      <c r="C829" s="105"/>
    </row>
    <row r="830">
      <c r="C830" s="105"/>
    </row>
    <row r="831">
      <c r="C831" s="105"/>
    </row>
    <row r="832">
      <c r="C832" s="105"/>
    </row>
    <row r="833">
      <c r="C833" s="105"/>
    </row>
    <row r="834">
      <c r="C834" s="105"/>
    </row>
    <row r="835">
      <c r="C835" s="105"/>
    </row>
    <row r="836">
      <c r="C836" s="105"/>
    </row>
    <row r="837">
      <c r="C837" s="105"/>
    </row>
    <row r="838">
      <c r="C838" s="105"/>
    </row>
    <row r="839">
      <c r="C839" s="105"/>
    </row>
    <row r="840">
      <c r="C840" s="105"/>
    </row>
    <row r="841">
      <c r="C841" s="105"/>
    </row>
    <row r="842">
      <c r="C842" s="105"/>
    </row>
    <row r="843">
      <c r="C843" s="105"/>
    </row>
    <row r="844">
      <c r="C844" s="105"/>
    </row>
    <row r="845">
      <c r="C845" s="105"/>
    </row>
    <row r="846">
      <c r="C846" s="105"/>
    </row>
    <row r="847">
      <c r="C847" s="105"/>
    </row>
    <row r="848">
      <c r="C848" s="105"/>
    </row>
    <row r="849">
      <c r="C849" s="105"/>
    </row>
    <row r="850">
      <c r="C850" s="105"/>
    </row>
    <row r="851">
      <c r="C851" s="105"/>
    </row>
    <row r="852">
      <c r="C852" s="105"/>
    </row>
    <row r="853">
      <c r="C853" s="105"/>
    </row>
    <row r="854">
      <c r="C854" s="105"/>
    </row>
    <row r="855">
      <c r="C855" s="105"/>
    </row>
    <row r="856">
      <c r="C856" s="105"/>
    </row>
    <row r="857">
      <c r="C857" s="105"/>
    </row>
    <row r="858">
      <c r="C858" s="105"/>
    </row>
    <row r="859">
      <c r="C859" s="105"/>
    </row>
    <row r="860">
      <c r="C860" s="105"/>
    </row>
    <row r="861">
      <c r="C861" s="105"/>
    </row>
    <row r="862">
      <c r="C862" s="105"/>
    </row>
    <row r="863">
      <c r="C863" s="105"/>
    </row>
    <row r="864">
      <c r="C864" s="105"/>
    </row>
    <row r="865">
      <c r="C865" s="105"/>
    </row>
    <row r="866">
      <c r="C866" s="105"/>
    </row>
    <row r="867">
      <c r="C867" s="105"/>
    </row>
    <row r="868">
      <c r="C868" s="105"/>
    </row>
    <row r="869">
      <c r="C869" s="105"/>
    </row>
    <row r="870">
      <c r="C870" s="105"/>
    </row>
    <row r="871">
      <c r="C871" s="105"/>
    </row>
    <row r="872">
      <c r="C872" s="105"/>
    </row>
    <row r="873">
      <c r="C873" s="105"/>
    </row>
    <row r="874">
      <c r="C874" s="105"/>
    </row>
    <row r="875">
      <c r="C875" s="105"/>
    </row>
    <row r="876">
      <c r="C876" s="105"/>
    </row>
    <row r="877">
      <c r="C877" s="105"/>
    </row>
    <row r="878">
      <c r="C878" s="105"/>
    </row>
    <row r="879">
      <c r="C879" s="105"/>
    </row>
    <row r="880">
      <c r="C880" s="105"/>
    </row>
    <row r="881">
      <c r="C881" s="105"/>
    </row>
    <row r="882">
      <c r="C882" s="105"/>
    </row>
    <row r="883">
      <c r="C883" s="105"/>
    </row>
    <row r="884">
      <c r="C884" s="105"/>
    </row>
    <row r="885">
      <c r="C885" s="105"/>
    </row>
    <row r="886">
      <c r="C886" s="105"/>
    </row>
    <row r="887">
      <c r="C887" s="105"/>
    </row>
    <row r="888">
      <c r="C888" s="105"/>
    </row>
    <row r="889">
      <c r="C889" s="105"/>
    </row>
    <row r="890">
      <c r="C890" s="105"/>
    </row>
    <row r="891">
      <c r="C891" s="105"/>
    </row>
    <row r="892">
      <c r="C892" s="105"/>
    </row>
    <row r="893">
      <c r="C893" s="105"/>
    </row>
    <row r="894">
      <c r="C894" s="105"/>
    </row>
    <row r="895">
      <c r="C895" s="105"/>
    </row>
    <row r="896">
      <c r="C896" s="105"/>
    </row>
    <row r="897">
      <c r="C897" s="105"/>
    </row>
    <row r="898">
      <c r="C898" s="105"/>
    </row>
    <row r="899">
      <c r="C899" s="105"/>
    </row>
    <row r="900">
      <c r="C900" s="105"/>
    </row>
    <row r="901">
      <c r="C901" s="105"/>
    </row>
    <row r="902">
      <c r="C902" s="105"/>
    </row>
    <row r="903">
      <c r="C903" s="105"/>
    </row>
    <row r="904">
      <c r="C904" s="105"/>
    </row>
    <row r="905">
      <c r="C905" s="105"/>
    </row>
    <row r="906">
      <c r="C906" s="105"/>
    </row>
    <row r="907">
      <c r="C907" s="105"/>
    </row>
    <row r="908">
      <c r="C908" s="105"/>
    </row>
    <row r="909">
      <c r="C909" s="105"/>
    </row>
    <row r="910">
      <c r="C910" s="105"/>
    </row>
    <row r="911">
      <c r="C911" s="105"/>
    </row>
    <row r="912">
      <c r="C912" s="105"/>
    </row>
    <row r="913">
      <c r="C913" s="105"/>
    </row>
    <row r="914">
      <c r="C914" s="105"/>
    </row>
    <row r="915">
      <c r="C915" s="105"/>
    </row>
    <row r="916">
      <c r="C916" s="105"/>
    </row>
    <row r="917">
      <c r="C917" s="105"/>
    </row>
    <row r="918">
      <c r="C918" s="105"/>
    </row>
    <row r="919">
      <c r="C919" s="105"/>
    </row>
    <row r="920">
      <c r="C920" s="105"/>
    </row>
    <row r="921">
      <c r="C921" s="105"/>
    </row>
    <row r="922">
      <c r="C922" s="105"/>
    </row>
    <row r="923">
      <c r="C923" s="105"/>
    </row>
    <row r="924">
      <c r="C924" s="105"/>
    </row>
    <row r="925">
      <c r="C925" s="105"/>
    </row>
    <row r="926">
      <c r="C926" s="105"/>
    </row>
    <row r="927">
      <c r="C927" s="105"/>
    </row>
    <row r="928">
      <c r="C928" s="105"/>
    </row>
    <row r="929">
      <c r="C929" s="105"/>
    </row>
    <row r="930">
      <c r="C930" s="105"/>
    </row>
    <row r="931">
      <c r="C931" s="105"/>
    </row>
    <row r="932">
      <c r="C932" s="105"/>
    </row>
    <row r="933">
      <c r="C933" s="105"/>
    </row>
    <row r="934">
      <c r="C934" s="105"/>
    </row>
    <row r="935">
      <c r="C935" s="105"/>
    </row>
    <row r="936">
      <c r="C936" s="105"/>
    </row>
    <row r="937">
      <c r="C937" s="105"/>
    </row>
    <row r="938">
      <c r="C938" s="105"/>
    </row>
    <row r="939">
      <c r="C939" s="105"/>
    </row>
    <row r="940">
      <c r="C940" s="105"/>
    </row>
    <row r="941">
      <c r="C941" s="105"/>
    </row>
    <row r="942">
      <c r="C942" s="105"/>
    </row>
    <row r="943">
      <c r="C943" s="105"/>
    </row>
    <row r="944">
      <c r="C944" s="105"/>
    </row>
    <row r="945">
      <c r="C945" s="105"/>
    </row>
    <row r="946">
      <c r="C946" s="105"/>
    </row>
    <row r="947">
      <c r="C947" s="105"/>
    </row>
    <row r="948">
      <c r="C948" s="105"/>
    </row>
    <row r="949">
      <c r="C949" s="105"/>
    </row>
    <row r="950">
      <c r="C950" s="105"/>
    </row>
    <row r="951">
      <c r="C951" s="105"/>
    </row>
    <row r="952">
      <c r="C952" s="105"/>
    </row>
    <row r="953">
      <c r="C953" s="105"/>
    </row>
    <row r="954">
      <c r="C954" s="105"/>
    </row>
    <row r="955">
      <c r="C955" s="105"/>
    </row>
    <row r="956">
      <c r="C956" s="105"/>
    </row>
    <row r="957">
      <c r="C957" s="105"/>
    </row>
    <row r="958">
      <c r="C958" s="105"/>
    </row>
    <row r="959">
      <c r="C959" s="105"/>
    </row>
    <row r="960">
      <c r="C960" s="105"/>
    </row>
    <row r="961">
      <c r="C961" s="105"/>
    </row>
    <row r="962">
      <c r="C962" s="105"/>
    </row>
    <row r="963">
      <c r="C963" s="105"/>
    </row>
    <row r="964">
      <c r="C964" s="105"/>
    </row>
    <row r="965">
      <c r="C965" s="105"/>
    </row>
    <row r="966">
      <c r="C966" s="105"/>
    </row>
    <row r="967">
      <c r="C967" s="105"/>
    </row>
    <row r="968">
      <c r="C968" s="105"/>
    </row>
    <row r="969">
      <c r="C969" s="105"/>
    </row>
    <row r="970">
      <c r="C970" s="105"/>
    </row>
    <row r="971">
      <c r="C971" s="105"/>
    </row>
    <row r="972">
      <c r="C972" s="105"/>
    </row>
    <row r="973">
      <c r="C973" s="105"/>
    </row>
    <row r="974">
      <c r="C974" s="105"/>
    </row>
    <row r="975">
      <c r="C975" s="105"/>
    </row>
    <row r="976">
      <c r="C976" s="105"/>
    </row>
    <row r="977">
      <c r="C977" s="105"/>
    </row>
    <row r="978">
      <c r="C978" s="105"/>
    </row>
    <row r="979">
      <c r="C979" s="105"/>
    </row>
    <row r="980">
      <c r="C980" s="105"/>
    </row>
    <row r="981">
      <c r="C981" s="105"/>
    </row>
    <row r="982">
      <c r="C982" s="105"/>
    </row>
    <row r="983">
      <c r="C983" s="105"/>
    </row>
    <row r="984">
      <c r="C984" s="105"/>
    </row>
    <row r="985">
      <c r="C985" s="105"/>
    </row>
    <row r="986">
      <c r="C986" s="105"/>
    </row>
    <row r="987">
      <c r="C987" s="105"/>
    </row>
    <row r="988">
      <c r="C988" s="105"/>
    </row>
    <row r="989">
      <c r="C989" s="105"/>
    </row>
    <row r="990">
      <c r="C990" s="105"/>
    </row>
    <row r="991">
      <c r="C991" s="105"/>
    </row>
    <row r="992">
      <c r="C992" s="105"/>
    </row>
    <row r="993">
      <c r="C993" s="105"/>
    </row>
    <row r="994">
      <c r="C994" s="105"/>
    </row>
    <row r="995">
      <c r="C995" s="105"/>
    </row>
    <row r="996">
      <c r="C996" s="105"/>
    </row>
    <row r="997">
      <c r="C997" s="105"/>
    </row>
    <row r="998">
      <c r="C998" s="105"/>
    </row>
    <row r="999">
      <c r="C999" s="105"/>
    </row>
    <row r="1000">
      <c r="C1000" s="105"/>
    </row>
  </sheetData>
  <mergeCells count="5">
    <mergeCell ref="F1:J1"/>
    <mergeCell ref="K1:O1"/>
    <mergeCell ref="A3:A4"/>
    <mergeCell ref="A5:A6"/>
    <mergeCell ref="A7:A8"/>
  </mergeCells>
  <hyperlinks>
    <hyperlink r:id="rId1" ref="C3"/>
    <hyperlink r:id="rId2" ref="C4"/>
    <hyperlink r:id="rId3" ref="C5"/>
    <hyperlink r:id="rId4" ref="C6"/>
    <hyperlink r:id="rId5" ref="C7"/>
    <hyperlink r:id="rId6" ref="C8"/>
  </hyperlinks>
  <drawing r:id="rId7"/>
</worksheet>
</file>